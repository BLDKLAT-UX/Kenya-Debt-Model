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ASSUMPTIONS" sheetId="2" state="visible" r:id="rId2"/>
    <sheet name="MACRO_FRAMEWORK" sheetId="3" state="visible" r:id="rId3"/>
    <sheet name="DEBT_STOCK" sheetId="4" state="visible" r:id="rId4"/>
    <sheet name="DEBT_SERVICE" sheetId="5" state="visible" r:id="rId5"/>
    <sheet name="DSA_INDICATORS" sheetId="6" state="visible" r:id="rId6"/>
    <sheet name="STRESS_TESTS" sheetId="7" state="visible" r:id="rId7"/>
    <sheet name="CHARTS" sheetId="8" state="visible" r:id="rId8"/>
    <sheet name="DASHBO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22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b val="1"/>
      <color rgb="00FFFFFF"/>
      <sz val="14"/>
    </font>
    <font>
      <name val="Calibri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i val="1"/>
      <color rgb="007F7F7F"/>
      <sz val="8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i val="1"/>
      <color rgb="00000000"/>
      <sz val="9"/>
    </font>
    <font>
      <name val="Calibri"/>
      <i val="1"/>
      <color rgb="00000000"/>
      <sz val="8"/>
    </font>
    <font>
      <name val="Calibri"/>
      <b val="1"/>
      <i val="1"/>
      <color rgb="00000000"/>
      <sz val="9"/>
    </font>
    <font>
      <name val="Calibri"/>
      <i val="1"/>
      <color rgb="00404040"/>
      <sz val="8"/>
    </font>
    <font>
      <name val="Calibri"/>
      <b val="1"/>
      <color rgb="007F0000"/>
      <sz val="9"/>
    </font>
    <font>
      <name val="Calibri"/>
      <b val="1"/>
      <color rgb="00000000"/>
      <sz val="12"/>
    </font>
    <font>
      <name val="Calibri"/>
      <b val="1"/>
      <color rgb="00FFFFFF"/>
      <sz val="11"/>
    </font>
    <font>
      <name val="Calibri"/>
      <color rgb="00FFFFFF"/>
      <sz val="9"/>
    </font>
    <font>
      <name val="Calibri"/>
      <b val="1"/>
      <color rgb="00FFFFFF"/>
      <sz val="15"/>
    </font>
    <font>
      <name val="Calibri"/>
      <b val="1"/>
      <color rgb="00000000"/>
      <sz val="14"/>
    </font>
  </fonts>
  <fills count="1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FF00"/>
      </patternFill>
    </fill>
    <fill>
      <patternFill patternType="solid">
        <fgColor rgb="00FFFFFF"/>
      </patternFill>
    </fill>
    <fill>
      <patternFill patternType="solid">
        <fgColor rgb="00FF0000"/>
      </patternFill>
    </fill>
    <fill>
      <patternFill patternType="solid">
        <fgColor rgb="00FFC000"/>
      </patternFill>
    </fill>
    <fill>
      <patternFill patternType="solid">
        <fgColor rgb="0070AD47"/>
      </patternFill>
    </fill>
    <fill>
      <patternFill patternType="solid">
        <fgColor rgb="00F2F2F2"/>
      </patternFill>
    </fill>
    <fill>
      <patternFill patternType="solid">
        <fgColor rgb="00595959"/>
      </patternFill>
    </fill>
    <fill>
      <patternFill patternType="solid">
        <fgColor rgb="00C55A11"/>
      </patternFill>
    </fill>
    <fill>
      <patternFill patternType="solid">
        <fgColor rgb="007030A0"/>
      </patternFill>
    </fill>
    <fill>
      <patternFill patternType="solid">
        <fgColor rgb="00375623"/>
      </patternFill>
    </fill>
    <fill>
      <patternFill patternType="solid">
        <fgColor rgb="00FFE699"/>
      </patternFill>
    </fill>
    <fill>
      <patternFill patternType="solid">
        <fgColor rgb="00833C00"/>
      </patternFill>
    </fill>
    <fill>
      <patternFill patternType="solid">
        <fgColor rgb="00C00000"/>
      </patternFill>
    </fill>
    <fill>
      <patternFill patternType="solid">
        <fgColor rgb="00FFD96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0" fontId="8" fillId="10" borderId="1" applyAlignment="1" pivotButton="0" quotePrefix="0" xfId="0">
      <alignment horizontal="left" vertical="center"/>
    </xf>
    <xf numFmtId="0" fontId="12" fillId="10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right" vertical="center"/>
    </xf>
    <xf numFmtId="165" fontId="8" fillId="5" borderId="1" applyAlignment="1" pivotButton="0" quotePrefix="0" xfId="0">
      <alignment horizontal="right" vertical="center"/>
    </xf>
    <xf numFmtId="2" fontId="8" fillId="4" borderId="1" applyAlignment="1" pivotButton="0" quotePrefix="0" xfId="0">
      <alignment horizontal="right" vertical="center"/>
    </xf>
    <xf numFmtId="2" fontId="8" fillId="5" borderId="1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/>
    </xf>
    <xf numFmtId="0" fontId="13" fillId="6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0" fontId="13" fillId="10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right" vertical="center"/>
    </xf>
    <xf numFmtId="0" fontId="14" fillId="10" borderId="1" applyAlignment="1" pivotButton="0" quotePrefix="0" xfId="0">
      <alignment horizontal="left" vertical="center"/>
    </xf>
    <xf numFmtId="165" fontId="7" fillId="10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165" fontId="7" fillId="6" borderId="1" applyAlignment="1" pivotButton="0" quotePrefix="0" xfId="0">
      <alignment horizontal="right" vertical="center"/>
    </xf>
    <xf numFmtId="0" fontId="6" fillId="11" borderId="0" applyAlignment="1" pivotButton="0" quotePrefix="0" xfId="0">
      <alignment horizontal="left" vertical="center"/>
    </xf>
    <xf numFmtId="3" fontId="7" fillId="4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right" vertical="center"/>
    </xf>
    <xf numFmtId="164" fontId="8" fillId="10" borderId="1" applyAlignment="1" pivotButton="0" quotePrefix="0" xfId="0">
      <alignment horizontal="right" vertical="center"/>
    </xf>
    <xf numFmtId="0" fontId="6" fillId="12" borderId="0" applyAlignment="1" pivotButton="0" quotePrefix="0" xfId="0">
      <alignment horizontal="left" vertical="center"/>
    </xf>
    <xf numFmtId="0" fontId="6" fillId="1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164" fontId="7" fillId="10" borderId="1" applyAlignment="1" pivotButton="0" quotePrefix="0" xfId="0">
      <alignment horizontal="right" vertical="center"/>
    </xf>
    <xf numFmtId="0" fontId="6" fillId="14" borderId="0" applyAlignment="1" pivotButton="0" quotePrefix="0" xfId="0">
      <alignment horizontal="left" vertical="center"/>
    </xf>
    <xf numFmtId="165" fontId="11" fillId="7" borderId="1" applyAlignment="1" pivotButton="0" quotePrefix="0" xfId="0">
      <alignment horizontal="right" vertical="center"/>
    </xf>
    <xf numFmtId="165" fontId="11" fillId="5" borderId="1" applyAlignment="1" pivotButton="0" quotePrefix="0" xfId="0">
      <alignment horizontal="right" vertical="center"/>
    </xf>
    <xf numFmtId="165" fontId="7" fillId="8" borderId="1" applyAlignment="1" pivotButton="0" quotePrefix="0" xfId="0">
      <alignment horizontal="right" vertical="center"/>
    </xf>
    <xf numFmtId="0" fontId="15" fillId="10" borderId="0" applyAlignment="1" pivotButton="0" quotePrefix="0" xfId="0">
      <alignment horizontal="left" vertical="center" wrapText="1"/>
    </xf>
    <xf numFmtId="0" fontId="16" fillId="15" borderId="0" applyAlignment="1" pivotButton="0" quotePrefix="0" xfId="0">
      <alignment horizontal="left" vertical="center" wrapText="1"/>
    </xf>
    <xf numFmtId="0" fontId="17" fillId="8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left" vertical="center"/>
    </xf>
    <xf numFmtId="165" fontId="7" fillId="9" borderId="1" applyAlignment="1" pivotButton="0" quotePrefix="0" xfId="0">
      <alignment horizontal="right" vertical="center"/>
    </xf>
    <xf numFmtId="165" fontId="8" fillId="8" borderId="1" applyAlignment="1" pivotButton="0" quotePrefix="0" xfId="0">
      <alignment horizontal="right" vertical="center"/>
    </xf>
    <xf numFmtId="165" fontId="8" fillId="9" borderId="1" applyAlignment="1" pivotButton="0" quotePrefix="0" xfId="0">
      <alignment horizontal="right" vertical="center"/>
    </xf>
    <xf numFmtId="165" fontId="8" fillId="7" borderId="1" applyAlignment="1" pivotButton="0" quotePrefix="0" xfId="0">
      <alignment horizontal="right" vertical="center"/>
    </xf>
    <xf numFmtId="0" fontId="13" fillId="10" borderId="0" applyAlignment="1" pivotButton="0" quotePrefix="0" xfId="0">
      <alignment horizontal="left" vertical="center" wrapText="1"/>
    </xf>
    <xf numFmtId="0" fontId="18" fillId="2" borderId="0" applyAlignment="1" pivotButton="0" quotePrefix="0" xfId="0">
      <alignment horizontal="left" vertical="center"/>
    </xf>
    <xf numFmtId="0" fontId="15" fillId="10" borderId="0" applyAlignment="1" pivotButton="0" quotePrefix="0" xfId="0">
      <alignment horizontal="left" vertical="center"/>
    </xf>
    <xf numFmtId="165" fontId="19" fillId="7" borderId="1" applyAlignment="1" pivotButton="0" quotePrefix="0" xfId="0">
      <alignment horizontal="right" vertical="center"/>
    </xf>
    <xf numFmtId="0" fontId="18" fillId="12" borderId="0" applyAlignment="1" pivotButton="0" quotePrefix="0" xfId="0">
      <alignment horizontal="left" vertical="center"/>
    </xf>
    <xf numFmtId="0" fontId="18" fillId="16" borderId="0" applyAlignment="1" pivotButton="0" quotePrefix="0" xfId="0">
      <alignment horizontal="left" vertical="center"/>
    </xf>
    <xf numFmtId="0" fontId="18" fillId="13" borderId="0" applyAlignment="1" pivotButton="0" quotePrefix="0" xfId="0">
      <alignment horizontal="left" vertical="center"/>
    </xf>
    <xf numFmtId="0" fontId="18" fillId="17" borderId="0" applyAlignment="1" pivotButton="0" quotePrefix="0" xfId="0">
      <alignment horizontal="left" vertical="center"/>
    </xf>
    <xf numFmtId="0" fontId="18" fillId="14" borderId="0" applyAlignment="1" pivotButton="0" quotePrefix="0" xfId="0">
      <alignment horizontal="left" vertical="center"/>
    </xf>
    <xf numFmtId="0" fontId="20" fillId="2" borderId="0" applyAlignment="1" pivotButton="0" quotePrefix="0" xfId="0">
      <alignment horizontal="center" vertical="center"/>
    </xf>
    <xf numFmtId="0" fontId="21" fillId="8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 wrapText="1"/>
    </xf>
    <xf numFmtId="0" fontId="7" fillId="18" borderId="1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2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0" borderId="1" pivotButton="0" quotePrefix="0" xfId="0"/>
    <xf numFmtId="165" fontId="8" fillId="0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Debt / GDP — Baseline vs 55% Anchor</a:t>
            </a:r>
          </a:p>
        </rich>
      </tx>
    </title>
    <plotArea>
      <lineChart>
        <grouping val="standard"/>
        <ser>
          <idx val="0"/>
          <order val="0"/>
          <tx>
            <v>Debt/GDP Baseline</v>
          </tx>
          <spPr>
            <a:ln w="25000">
              <a:solidFill>
                <a:srgbClr val="1F4E79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'CHARTS'!$C$4:$J$4</f>
            </numRef>
          </cat>
          <val>
            <numRef>
              <f>'CHARTS'!$C$5</f>
            </numRef>
          </val>
        </ser>
        <ser>
          <idx val="1"/>
          <order val="1"/>
          <tx>
            <v>55% Anchor</v>
          </tx>
          <spPr>
            <a:ln w="18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'CHARTS'!$C$4:$J$4</f>
            </numRef>
          </cat>
          <val>
            <numRef>
              <f>'CHARTS'!$D$5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'CHARTS'!$C$4:$J$4</f>
            </numRef>
          </cat>
          <val>
            <numRef>
              <f>'CHARTS'!$E$5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'CHARTS'!$C$4:$J$4</f>
            </numRef>
          </cat>
          <val>
            <numRef>
              <f>'CHARTS'!$F$5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'CHARTS'!$C$4:$J$4</f>
            </numRef>
          </cat>
          <val>
            <numRef>
              <f>'CHARTS'!$G$5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'CHARTS'!$C$4:$J$4</f>
            </numRef>
          </cat>
          <val>
            <numRef>
              <f>'CHARTS'!$H$5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'CHARTS'!$C$4:$J$4</f>
            </numRef>
          </cat>
          <val>
            <numRef>
              <f>'CHARTS'!$I$5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'CHARTS'!$C$4:$J$4</f>
            </numRef>
          </cat>
          <val>
            <numRef>
              <f>'CHARTS'!$J$5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'CHARTS'!$C$6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'CHARTS'!$D$6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'CHARTS'!$E$6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'CHARTS'!$F$6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'CHARTS'!$G$6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'CHARTS'!$H$6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'CHARTS'!$I$6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'CHARTS'!$J$6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75"/>
          <min val="4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of GDP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Debt/GDP — Scenario Fan (FY24/25–FY29/30)</a:t>
            </a:r>
          </a:p>
        </rich>
      </tx>
    </title>
    <plotArea>
      <lineChart>
        <grouping val="standard"/>
        <ser>
          <idx val="0"/>
          <order val="0"/>
          <tx>
            <v>Baseline</v>
          </tx>
          <spPr>
            <a:ln w="20000">
              <a:solidFill>
                <a:srgbClr val="1F4E79"/>
              </a:solidFill>
              <a:prstDash val="solid"/>
            </a:ln>
          </spPr>
          <marker>
            <symbol val="diamond"/>
            <size val="5"/>
            <spPr>
              <a:ln>
                <a:prstDash val="solid"/>
              </a:ln>
            </spPr>
          </marker>
          <cat>
            <numRef>
              <f>'CHARTS'!$C$11:$H$11</f>
            </numRef>
          </cat>
          <val>
            <numRef>
              <f>'CHARTS'!$C$12</f>
            </numRef>
          </val>
        </ser>
        <ser>
          <idx val="1"/>
          <order val="1"/>
          <tx>
            <v>Lower Growth</v>
          </tx>
          <spPr>
            <a:ln w="20000">
              <a:solidFill>
                <a:srgbClr val="C55A11"/>
              </a:solidFill>
              <a:prstDash val="solid"/>
            </a:ln>
          </spPr>
          <marker>
            <symbol val="diamond"/>
            <size val="5"/>
            <spPr>
              <a:ln>
                <a:prstDash val="solid"/>
              </a:ln>
            </spPr>
          </marker>
          <cat>
            <numRef>
              <f>'CHARTS'!$C$11:$H$11</f>
            </numRef>
          </cat>
          <val>
            <numRef>
              <f>'CHARTS'!$D$12</f>
            </numRef>
          </val>
        </ser>
        <ser>
          <idx val="2"/>
          <order val="2"/>
          <tx>
            <v>FX Depreciation</v>
          </tx>
          <spPr>
            <a:ln w="20000">
              <a:solidFill>
                <a:srgbClr val="833C00"/>
              </a:solidFill>
              <a:prstDash val="solid"/>
            </a:ln>
          </spPr>
          <marker>
            <symbol val="diamond"/>
            <size val="5"/>
            <spPr>
              <a:ln>
                <a:prstDash val="solid"/>
              </a:ln>
            </spPr>
          </marker>
          <cat>
            <numRef>
              <f>'CHARTS'!$C$11:$H$11</f>
            </numRef>
          </cat>
          <val>
            <numRef>
              <f>'CHARTS'!$E$12</f>
            </numRef>
          </val>
        </ser>
        <ser>
          <idx val="3"/>
          <order val="3"/>
          <tx>
            <v>Interest Shock</v>
          </tx>
          <spPr>
            <a:ln w="20000">
              <a:solidFill>
                <a:srgbClr val="7030A0"/>
              </a:solidFill>
              <a:prstDash val="solid"/>
            </a:ln>
          </spPr>
          <marker>
            <symbol val="diamond"/>
            <size val="5"/>
            <spPr>
              <a:ln>
                <a:prstDash val="solid"/>
              </a:ln>
            </spPr>
          </marker>
          <cat>
            <numRef>
              <f>'CHARTS'!$C$11:$H$11</f>
            </numRef>
          </cat>
          <val>
            <numRef>
              <f>'CHARTS'!$F$12</f>
            </numRef>
          </val>
        </ser>
        <ser>
          <idx val="4"/>
          <order val="4"/>
          <tx>
            <v>Revenue Shortfall</v>
          </tx>
          <spPr>
            <a:ln w="20000">
              <a:solidFill>
                <a:srgbClr val="C00000"/>
              </a:solidFill>
              <a:prstDash val="solid"/>
            </a:ln>
          </spPr>
          <marker>
            <symbol val="diamond"/>
            <size val="5"/>
            <spPr>
              <a:ln>
                <a:prstDash val="solid"/>
              </a:ln>
            </spPr>
          </marker>
          <cat>
            <numRef>
              <f>'CHARTS'!$C$11:$H$11</f>
            </numRef>
          </cat>
          <val>
            <numRef>
              <f>'CHARTS'!$G$12</f>
            </numRef>
          </val>
        </ser>
        <ser>
          <idx val="5"/>
          <order val="5"/>
          <tx>
            <v>Optimistic</v>
          </tx>
          <spPr>
            <a:ln w="20000">
              <a:solidFill>
                <a:srgbClr val="70AD47"/>
              </a:solidFill>
              <a:prstDash val="solid"/>
            </a:ln>
          </spPr>
          <marker>
            <symbol val="diamond"/>
            <size val="5"/>
            <spPr>
              <a:ln>
                <a:prstDash val="solid"/>
              </a:ln>
            </spPr>
          </marker>
          <cat>
            <numRef>
              <f>'CHARTS'!$C$11:$H$11</f>
            </numRef>
          </cat>
          <val>
            <numRef>
              <f>'CHARTS'!$H$12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'CHARTS'!$C$11:$H$11</f>
            </numRef>
          </cat>
          <val>
            <numRef>
              <f>'CHARTS'!$C$13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'CHARTS'!$C$11:$H$11</f>
            </numRef>
          </cat>
          <val>
            <numRef>
              <f>'CHARTS'!$D$13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'CHARTS'!$C$11:$H$11</f>
            </numRef>
          </cat>
          <val>
            <numRef>
              <f>'CHARTS'!$E$13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'CHARTS'!$C$11:$H$11</f>
            </numRef>
          </cat>
          <val>
            <numRef>
              <f>'CHARTS'!$F$13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'CHARTS'!$C$11:$H$11</f>
            </numRef>
          </cat>
          <val>
            <numRef>
              <f>'CHARTS'!$G$13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'CHARTS'!$C$11:$H$11</f>
            </numRef>
          </cat>
          <val>
            <numRef>
              <f>'CHARTS'!$H$13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'CHARTS'!$C$11:$H$11</f>
            </numRef>
          </cat>
          <val>
            <numRef>
              <f>'CHARTS'!$C$14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'CHARTS'!$C$11:$H$11</f>
            </numRef>
          </cat>
          <val>
            <numRef>
              <f>'CHARTS'!$D$14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'CHARTS'!$C$11:$H$11</f>
            </numRef>
          </cat>
          <val>
            <numRef>
              <f>'CHARTS'!$E$14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'CHARTS'!$C$11:$H$11</f>
            </numRef>
          </cat>
          <val>
            <numRef>
              <f>'CHARTS'!$F$14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'CHARTS'!$C$11:$H$11</f>
            </numRef>
          </cat>
          <val>
            <numRef>
              <f>'CHARTS'!$G$14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'CHARTS'!$C$11:$H$11</f>
            </numRef>
          </cat>
          <val>
            <numRef>
              <f>'CHARTS'!$H$14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'CHARTS'!$C$11:$H$11</f>
            </numRef>
          </cat>
          <val>
            <numRef>
              <f>'CHARTS'!$C$15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'CHARTS'!$C$11:$H$11</f>
            </numRef>
          </cat>
          <val>
            <numRef>
              <f>'CHARTS'!$D$15</f>
            </numRef>
          </val>
        </ser>
        <ser>
          <idx val="20"/>
          <order val="2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'CHARTS'!$C$11:$H$11</f>
            </numRef>
          </cat>
          <val>
            <numRef>
              <f>'CHARTS'!$E$15</f>
            </numRef>
          </val>
        </ser>
        <ser>
          <idx val="21"/>
          <order val="2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'CHARTS'!$C$11:$H$11</f>
            </numRef>
          </cat>
          <val>
            <numRef>
              <f>'CHARTS'!$F$15</f>
            </numRef>
          </val>
        </ser>
        <ser>
          <idx val="22"/>
          <order val="2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'CHARTS'!$C$11:$H$11</f>
            </numRef>
          </cat>
          <val>
            <numRef>
              <f>'CHARTS'!$G$15</f>
            </numRef>
          </val>
        </ser>
        <ser>
          <idx val="23"/>
          <order val="2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'CHARTS'!$C$11:$H$11</f>
            </numRef>
          </cat>
          <val>
            <numRef>
              <f>'CHARTS'!$H$15</f>
            </numRef>
          </val>
        </ser>
        <ser>
          <idx val="24"/>
          <order val="2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'CHARTS'!$C$11:$H$11</f>
            </numRef>
          </cat>
          <val>
            <numRef>
              <f>'CHARTS'!$C$16</f>
            </numRef>
          </val>
        </ser>
        <ser>
          <idx val="25"/>
          <order val="2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'CHARTS'!$C$11:$H$11</f>
            </numRef>
          </cat>
          <val>
            <numRef>
              <f>'CHARTS'!$D$16</f>
            </numRef>
          </val>
        </ser>
        <ser>
          <idx val="26"/>
          <order val="2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'CHARTS'!$C$11:$H$11</f>
            </numRef>
          </cat>
          <val>
            <numRef>
              <f>'CHARTS'!$E$16</f>
            </numRef>
          </val>
        </ser>
        <ser>
          <idx val="27"/>
          <order val="2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'CHARTS'!$C$11:$H$11</f>
            </numRef>
          </cat>
          <val>
            <numRef>
              <f>'CHARTS'!$F$16</f>
            </numRef>
          </val>
        </ser>
        <ser>
          <idx val="28"/>
          <order val="2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'CHARTS'!$C$11:$H$11</f>
            </numRef>
          </cat>
          <val>
            <numRef>
              <f>'CHARTS'!$G$16</f>
            </numRef>
          </val>
        </ser>
        <ser>
          <idx val="29"/>
          <order val="2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'CHARTS'!$C$11:$H$11</f>
            </numRef>
          </cat>
          <val>
            <numRef>
              <f>'CHARTS'!$H$16</f>
            </numRef>
          </val>
        </ser>
        <ser>
          <idx val="30"/>
          <order val="3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'CHARTS'!$C$11:$H$11</f>
            </numRef>
          </cat>
          <val>
            <numRef>
              <f>'CHARTS'!$C$17</f>
            </numRef>
          </val>
        </ser>
        <ser>
          <idx val="31"/>
          <order val="3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'CHARTS'!$C$11:$H$11</f>
            </numRef>
          </cat>
          <val>
            <numRef>
              <f>'CHARTS'!$D$17</f>
            </numRef>
          </val>
        </ser>
        <ser>
          <idx val="32"/>
          <order val="3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'CHARTS'!$C$11:$H$11</f>
            </numRef>
          </cat>
          <val>
            <numRef>
              <f>'CHARTS'!$E$17</f>
            </numRef>
          </val>
        </ser>
        <ser>
          <idx val="33"/>
          <order val="3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'CHARTS'!$C$11:$H$11</f>
            </numRef>
          </cat>
          <val>
            <numRef>
              <f>'CHARTS'!$F$17</f>
            </numRef>
          </val>
        </ser>
        <ser>
          <idx val="34"/>
          <order val="3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'CHARTS'!$C$11:$H$11</f>
            </numRef>
          </cat>
          <val>
            <numRef>
              <f>'CHARTS'!$G$17</f>
            </numRef>
          </val>
        </ser>
        <ser>
          <idx val="35"/>
          <order val="3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'CHARTS'!$C$11:$H$11</f>
            </numRef>
          </cat>
          <val>
            <numRef>
              <f>'CHARTS'!$H$17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80"/>
          <min val="45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of GDP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Debt Service / Revenue (%) vs 30% Threshold</a:t>
            </a:r>
          </a:p>
        </rich>
      </tx>
    </title>
    <plotArea>
      <barChart>
        <barDir val="col"/>
        <grouping val="clustered"/>
        <ser>
          <idx val="0"/>
          <order val="0"/>
          <tx>
            <v>DS/Revenue %</v>
          </tx>
          <spPr>
            <a:solidFill>
              <a:srgbClr val="FFC000"/>
            </a:solidFill>
            <a:ln>
              <a:solidFill>
                <a:srgbClr val="000000"/>
              </a:solidFill>
              <a:prstDash val="solid"/>
            </a:ln>
          </spPr>
          <cat>
            <numRef>
              <f>'CHARTS'!$C$20:$J$20</f>
            </numRef>
          </cat>
          <val>
            <numRef>
              <f>'CHARTS'!$C$21</f>
            </numRef>
          </val>
        </ser>
        <ser>
          <idx val="1"/>
          <order val="1"/>
          <tx>
            <v>30% Threshold</v>
          </tx>
          <spPr>
            <a:solidFill>
              <a:srgbClr val="C00000"/>
            </a:solidFill>
            <a:ln>
              <a:prstDash val="solid"/>
            </a:ln>
          </spPr>
          <cat>
            <numRef>
              <f>'CHARTS'!$C$20:$J$20</f>
            </numRef>
          </cat>
          <val>
            <numRef>
              <f>'CHARTS'!$D$21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'CHARTS'!$C$20:$J$20</f>
            </numRef>
          </cat>
          <val>
            <numRef>
              <f>'CHARTS'!$E$21</f>
            </numRef>
          </val>
        </ser>
        <ser>
          <idx val="3"/>
          <order val="3"/>
          <spPr>
            <a:ln>
              <a:prstDash val="solid"/>
            </a:ln>
          </spPr>
          <cat>
            <numRef>
              <f>'CHARTS'!$C$20:$J$20</f>
            </numRef>
          </cat>
          <val>
            <numRef>
              <f>'CHARTS'!$F$21</f>
            </numRef>
          </val>
        </ser>
        <ser>
          <idx val="4"/>
          <order val="4"/>
          <spPr>
            <a:ln>
              <a:prstDash val="solid"/>
            </a:ln>
          </spPr>
          <cat>
            <numRef>
              <f>'CHARTS'!$C$20:$J$20</f>
            </numRef>
          </cat>
          <val>
            <numRef>
              <f>'CHARTS'!$G$21</f>
            </numRef>
          </val>
        </ser>
        <ser>
          <idx val="5"/>
          <order val="5"/>
          <spPr>
            <a:ln>
              <a:prstDash val="solid"/>
            </a:ln>
          </spPr>
          <cat>
            <numRef>
              <f>'CHARTS'!$C$20:$J$20</f>
            </numRef>
          </cat>
          <val>
            <numRef>
              <f>'CHARTS'!$H$21</f>
            </numRef>
          </val>
        </ser>
        <ser>
          <idx val="6"/>
          <order val="6"/>
          <spPr>
            <a:ln>
              <a:prstDash val="solid"/>
            </a:ln>
          </spPr>
          <cat>
            <numRef>
              <f>'CHARTS'!$C$20:$J$20</f>
            </numRef>
          </cat>
          <val>
            <numRef>
              <f>'CHARTS'!$I$21</f>
            </numRef>
          </val>
        </ser>
        <ser>
          <idx val="7"/>
          <order val="7"/>
          <spPr>
            <a:ln>
              <a:prstDash val="solid"/>
            </a:ln>
          </spPr>
          <cat>
            <numRef>
              <f>'CHARTS'!$C$20:$J$20</f>
            </numRef>
          </cat>
          <val>
            <numRef>
              <f>'CHARTS'!$J$21</f>
            </numRef>
          </val>
        </ser>
        <ser>
          <idx val="8"/>
          <order val="8"/>
          <spPr>
            <a:ln>
              <a:prstDash val="solid"/>
            </a:ln>
          </spPr>
          <cat>
            <numRef>
              <f>'CHARTS'!$C$20:$J$20</f>
            </numRef>
          </cat>
          <val>
            <numRef>
              <f>'CHARTS'!$C$22</f>
            </numRef>
          </val>
        </ser>
        <ser>
          <idx val="9"/>
          <order val="9"/>
          <spPr>
            <a:ln>
              <a:prstDash val="solid"/>
            </a:ln>
          </spPr>
          <cat>
            <numRef>
              <f>'CHARTS'!$C$20:$J$20</f>
            </numRef>
          </cat>
          <val>
            <numRef>
              <f>'CHARTS'!$D$22</f>
            </numRef>
          </val>
        </ser>
        <ser>
          <idx val="10"/>
          <order val="10"/>
          <spPr>
            <a:ln>
              <a:prstDash val="solid"/>
            </a:ln>
          </spPr>
          <cat>
            <numRef>
              <f>'CHARTS'!$C$20:$J$20</f>
            </numRef>
          </cat>
          <val>
            <numRef>
              <f>'CHARTS'!$E$22</f>
            </numRef>
          </val>
        </ser>
        <ser>
          <idx val="11"/>
          <order val="11"/>
          <spPr>
            <a:ln>
              <a:prstDash val="solid"/>
            </a:ln>
          </spPr>
          <cat>
            <numRef>
              <f>'CHARTS'!$C$20:$J$20</f>
            </numRef>
          </cat>
          <val>
            <numRef>
              <f>'CHARTS'!$F$22</f>
            </numRef>
          </val>
        </ser>
        <ser>
          <idx val="12"/>
          <order val="12"/>
          <spPr>
            <a:ln>
              <a:prstDash val="solid"/>
            </a:ln>
          </spPr>
          <cat>
            <numRef>
              <f>'CHARTS'!$C$20:$J$20</f>
            </numRef>
          </cat>
          <val>
            <numRef>
              <f>'CHARTS'!$G$22</f>
            </numRef>
          </val>
        </ser>
        <ser>
          <idx val="13"/>
          <order val="13"/>
          <spPr>
            <a:ln>
              <a:prstDash val="solid"/>
            </a:ln>
          </spPr>
          <cat>
            <numRef>
              <f>'CHARTS'!$C$20:$J$20</f>
            </numRef>
          </cat>
          <val>
            <numRef>
              <f>'CHARTS'!$H$22</f>
            </numRef>
          </val>
        </ser>
        <ser>
          <idx val="14"/>
          <order val="14"/>
          <spPr>
            <a:ln>
              <a:prstDash val="solid"/>
            </a:ln>
          </spPr>
          <cat>
            <numRef>
              <f>'CHARTS'!$C$20:$J$20</f>
            </numRef>
          </cat>
          <val>
            <numRef>
              <f>'CHARTS'!$I$22</f>
            </numRef>
          </val>
        </ser>
        <ser>
          <idx val="15"/>
          <order val="15"/>
          <spPr>
            <a:ln>
              <a:prstDash val="solid"/>
            </a:ln>
          </spPr>
          <cat>
            <numRef>
              <f>'CHARTS'!$C$20:$J$20</f>
            </numRef>
          </cat>
          <val>
            <numRef>
              <f>'CHARTS'!$J$22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90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of 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Debt Composition by Category (KES Billions)</a:t>
            </a:r>
          </a:p>
        </rich>
      </tx>
    </title>
    <plotArea>
      <barChart>
        <barDir val="col"/>
        <grouping val="stacked"/>
        <ser>
          <idx val="0"/>
          <order val="0"/>
          <tx>
            <v>Domestic Debt</v>
          </tx>
          <spPr>
            <a:solidFill>
              <a:srgbClr val="1F4E79"/>
            </a:solidFill>
            <a:ln>
              <a:prstDash val="solid"/>
            </a:ln>
          </spPr>
          <cat>
            <numRef>
              <f>'CHARTS'!$C$25:$J$25</f>
            </numRef>
          </cat>
          <val>
            <numRef>
              <f>'CHARTS'!$C$26</f>
            </numRef>
          </val>
        </ser>
        <ser>
          <idx val="1"/>
          <order val="1"/>
          <tx>
            <v>External Debt</v>
          </tx>
          <spPr>
            <a:solidFill>
              <a:srgbClr val="C55A11"/>
            </a:solidFill>
            <a:ln>
              <a:prstDash val="solid"/>
            </a:ln>
          </spPr>
          <cat>
            <numRef>
              <f>'CHARTS'!$C$25:$J$25</f>
            </numRef>
          </cat>
          <val>
            <numRef>
              <f>'CHARTS'!$D$26</f>
            </numRef>
          </val>
        </ser>
        <ser>
          <idx val="2"/>
          <order val="2"/>
          <tx>
            <v>Guaranteed Debt</v>
          </tx>
          <spPr>
            <a:solidFill>
              <a:srgbClr val="7030A0"/>
            </a:solidFill>
            <a:ln>
              <a:prstDash val="solid"/>
            </a:ln>
          </spPr>
          <cat>
            <numRef>
              <f>'CHARTS'!$C$25:$J$25</f>
            </numRef>
          </cat>
          <val>
            <numRef>
              <f>'CHARTS'!$E$26</f>
            </numRef>
          </val>
        </ser>
        <ser>
          <idx val="3"/>
          <order val="3"/>
          <spPr>
            <a:ln>
              <a:prstDash val="solid"/>
            </a:ln>
          </spPr>
          <cat>
            <numRef>
              <f>'CHARTS'!$C$25:$J$25</f>
            </numRef>
          </cat>
          <val>
            <numRef>
              <f>'CHARTS'!$F$26</f>
            </numRef>
          </val>
        </ser>
        <ser>
          <idx val="4"/>
          <order val="4"/>
          <spPr>
            <a:ln>
              <a:prstDash val="solid"/>
            </a:ln>
          </spPr>
          <cat>
            <numRef>
              <f>'CHARTS'!$C$25:$J$25</f>
            </numRef>
          </cat>
          <val>
            <numRef>
              <f>'CHARTS'!$G$26</f>
            </numRef>
          </val>
        </ser>
        <ser>
          <idx val="5"/>
          <order val="5"/>
          <spPr>
            <a:ln>
              <a:prstDash val="solid"/>
            </a:ln>
          </spPr>
          <cat>
            <numRef>
              <f>'CHARTS'!$C$25:$J$25</f>
            </numRef>
          </cat>
          <val>
            <numRef>
              <f>'CHARTS'!$H$26</f>
            </numRef>
          </val>
        </ser>
        <ser>
          <idx val="6"/>
          <order val="6"/>
          <spPr>
            <a:ln>
              <a:prstDash val="solid"/>
            </a:ln>
          </spPr>
          <cat>
            <numRef>
              <f>'CHARTS'!$C$25:$J$25</f>
            </numRef>
          </cat>
          <val>
            <numRef>
              <f>'CHARTS'!$I$26</f>
            </numRef>
          </val>
        </ser>
        <ser>
          <idx val="7"/>
          <order val="7"/>
          <spPr>
            <a:ln>
              <a:prstDash val="solid"/>
            </a:ln>
          </spPr>
          <cat>
            <numRef>
              <f>'CHARTS'!$C$25:$J$25</f>
            </numRef>
          </cat>
          <val>
            <numRef>
              <f>'CHARTS'!$J$26</f>
            </numRef>
          </val>
        </ser>
        <ser>
          <idx val="8"/>
          <order val="8"/>
          <spPr>
            <a:ln>
              <a:prstDash val="solid"/>
            </a:ln>
          </spPr>
          <cat>
            <numRef>
              <f>'CHARTS'!$C$25:$J$25</f>
            </numRef>
          </cat>
          <val>
            <numRef>
              <f>'CHARTS'!$C$27</f>
            </numRef>
          </val>
        </ser>
        <ser>
          <idx val="9"/>
          <order val="9"/>
          <spPr>
            <a:ln>
              <a:prstDash val="solid"/>
            </a:ln>
          </spPr>
          <cat>
            <numRef>
              <f>'CHARTS'!$C$25:$J$25</f>
            </numRef>
          </cat>
          <val>
            <numRef>
              <f>'CHARTS'!$D$27</f>
            </numRef>
          </val>
        </ser>
        <ser>
          <idx val="10"/>
          <order val="10"/>
          <spPr>
            <a:ln>
              <a:prstDash val="solid"/>
            </a:ln>
          </spPr>
          <cat>
            <numRef>
              <f>'CHARTS'!$C$25:$J$25</f>
            </numRef>
          </cat>
          <val>
            <numRef>
              <f>'CHARTS'!$E$27</f>
            </numRef>
          </val>
        </ser>
        <ser>
          <idx val="11"/>
          <order val="11"/>
          <spPr>
            <a:ln>
              <a:prstDash val="solid"/>
            </a:ln>
          </spPr>
          <cat>
            <numRef>
              <f>'CHARTS'!$C$25:$J$25</f>
            </numRef>
          </cat>
          <val>
            <numRef>
              <f>'CHARTS'!$F$27</f>
            </numRef>
          </val>
        </ser>
        <ser>
          <idx val="12"/>
          <order val="12"/>
          <spPr>
            <a:ln>
              <a:prstDash val="solid"/>
            </a:ln>
          </spPr>
          <cat>
            <numRef>
              <f>'CHARTS'!$C$25:$J$25</f>
            </numRef>
          </cat>
          <val>
            <numRef>
              <f>'CHARTS'!$G$27</f>
            </numRef>
          </val>
        </ser>
        <ser>
          <idx val="13"/>
          <order val="13"/>
          <spPr>
            <a:ln>
              <a:prstDash val="solid"/>
            </a:ln>
          </spPr>
          <cat>
            <numRef>
              <f>'CHARTS'!$C$25:$J$25</f>
            </numRef>
          </cat>
          <val>
            <numRef>
              <f>'CHARTS'!$H$27</f>
            </numRef>
          </val>
        </ser>
        <ser>
          <idx val="14"/>
          <order val="14"/>
          <spPr>
            <a:ln>
              <a:prstDash val="solid"/>
            </a:ln>
          </spPr>
          <cat>
            <numRef>
              <f>'CHARTS'!$C$25:$J$25</f>
            </numRef>
          </cat>
          <val>
            <numRef>
              <f>'CHARTS'!$I$27</f>
            </numRef>
          </val>
        </ser>
        <ser>
          <idx val="15"/>
          <order val="15"/>
          <spPr>
            <a:ln>
              <a:prstDash val="solid"/>
            </a:ln>
          </spPr>
          <cat>
            <numRef>
              <f>'CHARTS'!$C$25:$J$25</f>
            </numRef>
          </cat>
          <val>
            <numRef>
              <f>'CHARTS'!$J$27</f>
            </numRef>
          </val>
        </ser>
        <ser>
          <idx val="16"/>
          <order val="16"/>
          <spPr>
            <a:ln>
              <a:prstDash val="solid"/>
            </a:ln>
          </spPr>
          <cat>
            <numRef>
              <f>'CHARTS'!$C$25:$J$25</f>
            </numRef>
          </cat>
          <val>
            <numRef>
              <f>'CHARTS'!$C$28</f>
            </numRef>
          </val>
        </ser>
        <ser>
          <idx val="17"/>
          <order val="17"/>
          <spPr>
            <a:ln>
              <a:prstDash val="solid"/>
            </a:ln>
          </spPr>
          <cat>
            <numRef>
              <f>'CHARTS'!$C$25:$J$25</f>
            </numRef>
          </cat>
          <val>
            <numRef>
              <f>'CHARTS'!$D$28</f>
            </numRef>
          </val>
        </ser>
        <ser>
          <idx val="18"/>
          <order val="18"/>
          <spPr>
            <a:ln>
              <a:prstDash val="solid"/>
            </a:ln>
          </spPr>
          <cat>
            <numRef>
              <f>'CHARTS'!$C$25:$J$25</f>
            </numRef>
          </cat>
          <val>
            <numRef>
              <f>'CHARTS'!$E$28</f>
            </numRef>
          </val>
        </ser>
        <ser>
          <idx val="19"/>
          <order val="19"/>
          <spPr>
            <a:ln>
              <a:prstDash val="solid"/>
            </a:ln>
          </spPr>
          <cat>
            <numRef>
              <f>'CHARTS'!$C$25:$J$25</f>
            </numRef>
          </cat>
          <val>
            <numRef>
              <f>'CHARTS'!$F$28</f>
            </numRef>
          </val>
        </ser>
        <ser>
          <idx val="20"/>
          <order val="20"/>
          <spPr>
            <a:ln>
              <a:prstDash val="solid"/>
            </a:ln>
          </spPr>
          <cat>
            <numRef>
              <f>'CHARTS'!$C$25:$J$25</f>
            </numRef>
          </cat>
          <val>
            <numRef>
              <f>'CHARTS'!$G$28</f>
            </numRef>
          </val>
        </ser>
        <ser>
          <idx val="21"/>
          <order val="21"/>
          <spPr>
            <a:ln>
              <a:prstDash val="solid"/>
            </a:ln>
          </spPr>
          <cat>
            <numRef>
              <f>'CHARTS'!$C$25:$J$25</f>
            </numRef>
          </cat>
          <val>
            <numRef>
              <f>'CHARTS'!$H$28</f>
            </numRef>
          </val>
        </ser>
        <ser>
          <idx val="22"/>
          <order val="22"/>
          <spPr>
            <a:ln>
              <a:prstDash val="solid"/>
            </a:ln>
          </spPr>
          <cat>
            <numRef>
              <f>'CHARTS'!$C$25:$J$25</f>
            </numRef>
          </cat>
          <val>
            <numRef>
              <f>'CHARTS'!$I$28</f>
            </numRef>
          </val>
        </ser>
        <ser>
          <idx val="23"/>
          <order val="23"/>
          <spPr>
            <a:ln>
              <a:prstDash val="solid"/>
            </a:ln>
          </spPr>
          <cat>
            <numRef>
              <f>'CHARTS'!$C$25:$J$25</f>
            </numRef>
          </cat>
          <val>
            <numRef>
              <f>'CHARTS'!$J$28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KES Billions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35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35</row>
      <rowOff>0</rowOff>
    </from>
    <ext cx="648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56</row>
      <rowOff>0</rowOff>
    </from>
    <ext cx="648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13</col>
      <colOff>0</colOff>
      <row>56</row>
      <rowOff>0</rowOff>
    </from>
    <ext cx="6480000" cy="43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0" customWidth="1" min="3" max="3"/>
    <col width="20" customWidth="1" min="4" max="4"/>
    <col width="20" customWidth="1" min="5" max="5"/>
    <col width="4" customWidth="1" min="6" max="6"/>
  </cols>
  <sheetData>
    <row r="1" ht="8" customHeight="1"/>
    <row r="2" ht="50" customHeight="1">
      <c r="B2" s="1" t="inlineStr">
        <is>
          <t>REPUBLIC OF KENYA</t>
        </is>
      </c>
    </row>
    <row r="3" ht="36" customHeight="1">
      <c r="B3" s="2" t="inlineStr">
        <is>
          <t>Public Debt Sustainability Analysis Model</t>
        </is>
      </c>
    </row>
    <row r="4" ht="24" customHeight="1">
      <c r="B4" s="3" t="inlineStr">
        <is>
          <t>FY2022/23 – FY2029/30  |  LIC-DSF Framework  |  PDMO</t>
        </is>
      </c>
    </row>
    <row r="6" ht="18" customHeight="1">
      <c r="B6" s="4" t="inlineStr">
        <is>
          <t>Prepared by:</t>
        </is>
      </c>
      <c r="C6" s="5" t="inlineStr">
        <is>
          <t>Public Debt Management Office (PDMO)</t>
        </is>
      </c>
      <c r="D6" s="86" t="n"/>
      <c r="E6" s="87" t="n"/>
    </row>
    <row r="7" ht="18" customHeight="1">
      <c r="B7" s="4" t="inlineStr">
        <is>
          <t>Classification:</t>
        </is>
      </c>
      <c r="C7" s="5" t="inlineStr">
        <is>
          <t>OFFICIAL – RESTRICTED</t>
        </is>
      </c>
      <c r="D7" s="86" t="n"/>
      <c r="E7" s="87" t="n"/>
    </row>
    <row r="8" ht="18" customHeight="1">
      <c r="B8" s="4" t="inlineStr">
        <is>
          <t>Base Year:</t>
        </is>
      </c>
      <c r="C8" s="5" t="inlineStr">
        <is>
          <t>FY2024/25</t>
        </is>
      </c>
      <c r="D8" s="86" t="n"/>
      <c r="E8" s="87" t="n"/>
    </row>
    <row r="9" ht="18" customHeight="1">
      <c r="B9" s="4" t="inlineStr">
        <is>
          <t>Projection End:</t>
        </is>
      </c>
      <c r="C9" s="5" t="inlineStr">
        <is>
          <t>FY2029/30</t>
        </is>
      </c>
      <c r="D9" s="86" t="n"/>
      <c r="E9" s="87" t="n"/>
    </row>
    <row r="10" ht="18" customHeight="1">
      <c r="B10" s="4" t="inlineStr">
        <is>
          <t>Currency:</t>
        </is>
      </c>
      <c r="C10" s="5" t="inlineStr">
        <is>
          <t>KES Billions (unless noted)</t>
        </is>
      </c>
      <c r="D10" s="86" t="n"/>
      <c r="E10" s="87" t="n"/>
    </row>
    <row r="11" ht="18" customHeight="1">
      <c r="B11" s="4" t="inlineStr">
        <is>
          <t>Framework:</t>
        </is>
      </c>
      <c r="C11" s="5" t="inlineStr">
        <is>
          <t>IMF LIC-DSF (2018 vintage)</t>
        </is>
      </c>
      <c r="D11" s="86" t="n"/>
      <c r="E11" s="87" t="n"/>
    </row>
    <row r="12" ht="18" customHeight="1">
      <c r="B12" s="4" t="inlineStr">
        <is>
          <t>Last Updated:</t>
        </is>
      </c>
      <c r="C12" s="5" t="inlineStr">
        <is>
          <t>September 2026</t>
        </is>
      </c>
      <c r="D12" s="86" t="n"/>
      <c r="E12" s="87" t="n"/>
    </row>
    <row r="14" ht="8" customHeight="1"/>
    <row r="15" ht="20" customHeight="1">
      <c r="B15" s="6" t="inlineStr">
        <is>
          <t>COLOR LEGEND</t>
        </is>
      </c>
    </row>
    <row r="16" ht="18" customHeight="1">
      <c r="B16" s="112" t="inlineStr">
        <is>
          <t>Blue fill</t>
        </is>
      </c>
      <c r="C16" s="8" t="inlineStr">
        <is>
          <t>Hardcoded input / assumption</t>
        </is>
      </c>
      <c r="D16" s="86" t="n"/>
      <c r="E16" s="87" t="n"/>
    </row>
    <row r="17" ht="18" customHeight="1">
      <c r="B17" s="9" t="inlineStr">
        <is>
          <t>Yellow fill</t>
        </is>
      </c>
      <c r="C17" s="8" t="inlineStr">
        <is>
          <t>Projection year value</t>
        </is>
      </c>
      <c r="D17" s="86" t="n"/>
      <c r="E17" s="87" t="n"/>
    </row>
    <row r="18" ht="18" customHeight="1">
      <c r="B18" s="10" t="inlineStr">
        <is>
          <t>No fill</t>
        </is>
      </c>
      <c r="C18" s="8" t="inlineStr">
        <is>
          <t>Formula-driven output (black text)</t>
        </is>
      </c>
      <c r="D18" s="86" t="n"/>
      <c r="E18" s="87" t="n"/>
    </row>
    <row r="19" ht="18" customHeight="1">
      <c r="B19" s="11" t="inlineStr">
        <is>
          <t>Red fill</t>
        </is>
      </c>
      <c r="C19" s="8" t="inlineStr">
        <is>
          <t>DSA threshold breach</t>
        </is>
      </c>
      <c r="D19" s="86" t="n"/>
      <c r="E19" s="87" t="n"/>
    </row>
    <row r="20" ht="18" customHeight="1">
      <c r="B20" s="12" t="inlineStr">
        <is>
          <t>Amber fill</t>
        </is>
      </c>
      <c r="C20" s="8" t="inlineStr">
        <is>
          <t>DSA elevated / watch</t>
        </is>
      </c>
      <c r="D20" s="86" t="n"/>
      <c r="E20" s="87" t="n"/>
    </row>
    <row r="21" ht="18" customHeight="1">
      <c r="B21" s="13" t="inlineStr">
        <is>
          <t>Green fill</t>
        </is>
      </c>
      <c r="C21" s="8" t="inlineStr">
        <is>
          <t>DSA within safe threshold</t>
        </is>
      </c>
      <c r="D21" s="86" t="n"/>
      <c r="E21" s="87" t="n"/>
    </row>
    <row r="23" ht="8" customHeight="1"/>
    <row r="24" ht="20" customHeight="1">
      <c r="B24" s="6" t="inlineStr">
        <is>
          <t>SHEET INDEX</t>
        </is>
      </c>
    </row>
    <row r="25" ht="18" customHeight="1">
      <c r="B25" s="14" t="inlineStr">
        <is>
          <t>1</t>
        </is>
      </c>
      <c r="C25" s="15" t="inlineStr">
        <is>
          <t>COVER</t>
        </is>
      </c>
      <c r="D25" s="16" t="inlineStr">
        <is>
          <t>Model metadata, color legend, and sheet index</t>
        </is>
      </c>
      <c r="E25" s="87" t="n"/>
    </row>
    <row r="26" ht="18" customHeight="1">
      <c r="B26" s="14" t="inlineStr">
        <is>
          <t>2</t>
        </is>
      </c>
      <c r="C26" s="15" t="inlineStr">
        <is>
          <t>ASSUMPTIONS</t>
        </is>
      </c>
      <c r="D26" s="16" t="inlineStr">
        <is>
          <t>All hardcoded inputs: macro, external, monetary</t>
        </is>
      </c>
      <c r="E26" s="87" t="n"/>
    </row>
    <row r="27" ht="18" customHeight="1">
      <c r="B27" s="14" t="inlineStr">
        <is>
          <t>3</t>
        </is>
      </c>
      <c r="C27" s="15" t="inlineStr">
        <is>
          <t>MACRO_FRAMEWORK</t>
        </is>
      </c>
      <c r="D27" s="16" t="inlineStr">
        <is>
          <t>Revenue, expenditure, fiscal balances (KES Bn &amp; % GDP)</t>
        </is>
      </c>
      <c r="E27" s="87" t="n"/>
    </row>
    <row r="28" ht="18" customHeight="1">
      <c r="B28" s="14" t="inlineStr">
        <is>
          <t>4</t>
        </is>
      </c>
      <c r="C28" s="15" t="inlineStr">
        <is>
          <t>DEBT_STOCK</t>
        </is>
      </c>
      <c r="D28" s="16" t="inlineStr">
        <is>
          <t>Full debt portfolio: domestic, external, guaranteed</t>
        </is>
      </c>
      <c r="E28" s="87" t="n"/>
    </row>
    <row r="29" ht="18" customHeight="1">
      <c r="B29" s="14" t="inlineStr">
        <is>
          <t>5</t>
        </is>
      </c>
      <c r="C29" s="15" t="inlineStr">
        <is>
          <t>DEBT_SERVICE</t>
        </is>
      </c>
      <c r="D29" s="16" t="inlineStr">
        <is>
          <t>Principal &amp; interest plus key ratios</t>
        </is>
      </c>
      <c r="E29" s="87" t="n"/>
    </row>
    <row r="30" ht="18" customHeight="1">
      <c r="B30" s="14" t="inlineStr">
        <is>
          <t>6</t>
        </is>
      </c>
      <c r="C30" s="15" t="inlineStr">
        <is>
          <t>DSA_INDICATORS</t>
        </is>
      </c>
      <c r="D30" s="16" t="inlineStr">
        <is>
          <t>IMF LIC-DSF scorecard with traffic-light coloring</t>
        </is>
      </c>
      <c r="E30" s="87" t="n"/>
    </row>
    <row r="31" ht="18" customHeight="1">
      <c r="B31" s="14" t="inlineStr">
        <is>
          <t>7</t>
        </is>
      </c>
      <c r="C31" s="15" t="inlineStr">
        <is>
          <t>STRESS_TESTS</t>
        </is>
      </c>
      <c r="D31" s="16" t="inlineStr">
        <is>
          <t>Six scenarios through FY2029/30</t>
        </is>
      </c>
      <c r="E31" s="87" t="n"/>
    </row>
    <row r="32" ht="18" customHeight="1">
      <c r="B32" s="14" t="inlineStr">
        <is>
          <t>8</t>
        </is>
      </c>
      <c r="C32" s="15" t="inlineStr">
        <is>
          <t>DASHBOARD</t>
        </is>
      </c>
      <c r="D32" s="16" t="inlineStr">
        <is>
          <t>Executive summary: KPI tiles, scorecard, watchpoints</t>
        </is>
      </c>
      <c r="E32" s="87" t="n"/>
    </row>
    <row r="34" ht="14" customHeight="1">
      <c r="B34" s="17" t="inlineStr">
        <is>
          <t>⚠  Projections are model outputs and subject to revision. For official debt data refer to PDMO published bulletins.</t>
        </is>
      </c>
    </row>
  </sheetData>
  <mergeCells count="34">
    <mergeCell ref="C16:E16"/>
    <mergeCell ref="B9"/>
    <mergeCell ref="B6"/>
    <mergeCell ref="B15:E15"/>
    <mergeCell ref="C9:E9"/>
    <mergeCell ref="B24:E24"/>
    <mergeCell ref="C21:E21"/>
    <mergeCell ref="D31:E31"/>
    <mergeCell ref="C12:E12"/>
    <mergeCell ref="C11:E11"/>
    <mergeCell ref="B4:E4"/>
    <mergeCell ref="D27:E27"/>
    <mergeCell ref="B7"/>
    <mergeCell ref="C8:E8"/>
    <mergeCell ref="C17:E17"/>
    <mergeCell ref="D32:E32"/>
    <mergeCell ref="B3:E3"/>
    <mergeCell ref="D26:E26"/>
    <mergeCell ref="C7:E7"/>
    <mergeCell ref="B12"/>
    <mergeCell ref="C19:E19"/>
    <mergeCell ref="B11"/>
    <mergeCell ref="C18:E18"/>
    <mergeCell ref="D28:E28"/>
    <mergeCell ref="B2:E2"/>
    <mergeCell ref="C6:E6"/>
    <mergeCell ref="D25:E25"/>
    <mergeCell ref="B8"/>
    <mergeCell ref="D30:E30"/>
    <mergeCell ref="D29:E29"/>
    <mergeCell ref="B10"/>
    <mergeCell ref="B34:E34"/>
    <mergeCell ref="C20:E20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3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4" customWidth="1" min="11" max="11"/>
  </cols>
  <sheetData>
    <row r="1" ht="8" customHeight="1"/>
    <row r="2" ht="30" customHeight="1">
      <c r="B2" s="18" t="inlineStr">
        <is>
          <t>KENYA DSA MODEL — ASSUMPTIONS</t>
        </is>
      </c>
    </row>
    <row r="3" ht="18" customHeight="1">
      <c r="B3" s="19" t="inlineStr">
        <is>
          <t>Assumption</t>
        </is>
      </c>
      <c r="C3" s="19" t="inlineStr">
        <is>
          <t>Unit</t>
        </is>
      </c>
      <c r="D3" s="112" t="inlineStr">
        <is>
          <t>FY22/23</t>
        </is>
      </c>
      <c r="E3" s="112" t="inlineStr">
        <is>
          <t>FY23/24</t>
        </is>
      </c>
      <c r="F3" s="9" t="inlineStr">
        <is>
          <t>FY24/25</t>
        </is>
      </c>
      <c r="G3" s="9" t="inlineStr">
        <is>
          <t>FY25/26</t>
        </is>
      </c>
      <c r="H3" s="9" t="inlineStr">
        <is>
          <t>FY26/27</t>
        </is>
      </c>
      <c r="I3" s="9" t="inlineStr">
        <is>
          <t>FY27/28</t>
        </is>
      </c>
      <c r="J3" s="9" t="inlineStr">
        <is>
          <t>FY28/29</t>
        </is>
      </c>
      <c r="K3" s="9" t="inlineStr">
        <is>
          <t>FY29/30</t>
        </is>
      </c>
    </row>
    <row r="4" ht="8" customHeight="1"/>
    <row r="5" ht="18" customHeight="1">
      <c r="B5" s="20" t="inlineStr">
        <is>
          <t>A.  REAL SECTOR</t>
        </is>
      </c>
    </row>
    <row r="6" ht="18" customHeight="1">
      <c r="B6" s="21" t="inlineStr">
        <is>
          <t>Nominal GDP</t>
        </is>
      </c>
      <c r="C6" s="22" t="inlineStr">
        <is>
          <t>KES Bn</t>
        </is>
      </c>
      <c r="D6" s="23" t="n">
        <v>12100</v>
      </c>
      <c r="E6" s="23" t="n">
        <v>13200</v>
      </c>
      <c r="F6" s="23" t="n">
        <v>14400</v>
      </c>
      <c r="G6" s="24" t="n">
        <v>15800</v>
      </c>
      <c r="H6" s="24" t="n">
        <v>17300</v>
      </c>
      <c r="I6" s="24" t="n">
        <v>18900</v>
      </c>
      <c r="J6" s="24" t="n">
        <v>20600</v>
      </c>
      <c r="K6" s="24" t="n">
        <v>22400</v>
      </c>
    </row>
    <row r="7" ht="18" customHeight="1">
      <c r="B7" s="25" t="inlineStr">
        <is>
          <t>Real GDP Growth</t>
        </is>
      </c>
      <c r="C7" s="26" t="inlineStr">
        <is>
          <t>%</t>
        </is>
      </c>
      <c r="D7" s="27" t="n">
        <v>4.8</v>
      </c>
      <c r="E7" s="27" t="n">
        <v>5.6</v>
      </c>
      <c r="F7" s="27" t="n">
        <v>5.4</v>
      </c>
      <c r="G7" s="28" t="n">
        <v>5.6</v>
      </c>
      <c r="H7" s="28" t="n">
        <v>5.8</v>
      </c>
      <c r="I7" s="28" t="n">
        <v>6</v>
      </c>
      <c r="J7" s="28" t="n">
        <v>6</v>
      </c>
      <c r="K7" s="28" t="n">
        <v>6</v>
      </c>
    </row>
    <row r="8" ht="18" customHeight="1">
      <c r="B8" s="21" t="inlineStr">
        <is>
          <t>GDP Deflator</t>
        </is>
      </c>
      <c r="C8" s="22" t="inlineStr">
        <is>
          <t>%</t>
        </is>
      </c>
      <c r="D8" s="27" t="n">
        <v>7.8</v>
      </c>
      <c r="E8" s="27" t="n">
        <v>6</v>
      </c>
      <c r="F8" s="27" t="n">
        <v>5.5</v>
      </c>
      <c r="G8" s="28" t="n">
        <v>5.2</v>
      </c>
      <c r="H8" s="28" t="n">
        <v>5</v>
      </c>
      <c r="I8" s="28" t="n">
        <v>4.8</v>
      </c>
      <c r="J8" s="28" t="n">
        <v>4.8</v>
      </c>
      <c r="K8" s="28" t="n">
        <v>4.8</v>
      </c>
    </row>
    <row r="9" ht="18" customHeight="1">
      <c r="B9" s="25" t="inlineStr">
        <is>
          <t>CPI Inflation (avg)</t>
        </is>
      </c>
      <c r="C9" s="26" t="inlineStr">
        <is>
          <t>%</t>
        </is>
      </c>
      <c r="D9" s="27" t="n">
        <v>7.9</v>
      </c>
      <c r="E9" s="27" t="n">
        <v>6.3</v>
      </c>
      <c r="F9" s="27" t="n">
        <v>5</v>
      </c>
      <c r="G9" s="28" t="n">
        <v>4.8</v>
      </c>
      <c r="H9" s="28" t="n">
        <v>4.5</v>
      </c>
      <c r="I9" s="28" t="n">
        <v>4.5</v>
      </c>
      <c r="J9" s="28" t="n">
        <v>4.5</v>
      </c>
      <c r="K9" s="28" t="n">
        <v>4.5</v>
      </c>
    </row>
    <row r="10" ht="18" customHeight="1">
      <c r="B10" s="21" t="inlineStr">
        <is>
          <t>USD/KES Exchange Rate</t>
        </is>
      </c>
      <c r="C10" s="22" t="inlineStr">
        <is>
          <t>KES/USD</t>
        </is>
      </c>
      <c r="D10" s="27" t="n">
        <v>132</v>
      </c>
      <c r="E10" s="27" t="n">
        <v>148</v>
      </c>
      <c r="F10" s="27" t="n">
        <v>128</v>
      </c>
      <c r="G10" s="28" t="n">
        <v>130</v>
      </c>
      <c r="H10" s="28" t="n">
        <v>132</v>
      </c>
      <c r="I10" s="28" t="n">
        <v>134</v>
      </c>
      <c r="J10" s="28" t="n">
        <v>136</v>
      </c>
      <c r="K10" s="28" t="n">
        <v>138</v>
      </c>
    </row>
    <row r="12" ht="8" customHeight="1"/>
    <row r="13" ht="18" customHeight="1">
      <c r="B13" s="20" t="inlineStr">
        <is>
          <t>B.  EXTERNAL SECTOR</t>
        </is>
      </c>
    </row>
    <row r="14" ht="18" customHeight="1">
      <c r="B14" s="21" t="inlineStr">
        <is>
          <t>Exports of Goods &amp; Services</t>
        </is>
      </c>
      <c r="C14" s="22" t="inlineStr">
        <is>
          <t>KES Bn</t>
        </is>
      </c>
      <c r="D14" s="23" t="n">
        <v>1890</v>
      </c>
      <c r="E14" s="23" t="n">
        <v>2100</v>
      </c>
      <c r="F14" s="23" t="n">
        <v>2350</v>
      </c>
      <c r="G14" s="24" t="n">
        <v>2580</v>
      </c>
      <c r="H14" s="24" t="n">
        <v>2820</v>
      </c>
      <c r="I14" s="24" t="n">
        <v>3070</v>
      </c>
      <c r="J14" s="24" t="n">
        <v>3350</v>
      </c>
      <c r="K14" s="24" t="n">
        <v>3650</v>
      </c>
    </row>
    <row r="15" ht="18" customHeight="1">
      <c r="B15" s="25" t="inlineStr">
        <is>
          <t>Imports of Goods &amp; Services</t>
        </is>
      </c>
      <c r="C15" s="26" t="inlineStr">
        <is>
          <t>KES Bn</t>
        </is>
      </c>
      <c r="D15" s="23" t="n">
        <v>3200</v>
      </c>
      <c r="E15" s="23" t="n">
        <v>3450</v>
      </c>
      <c r="F15" s="23" t="n">
        <v>3680</v>
      </c>
      <c r="G15" s="24" t="n">
        <v>3900</v>
      </c>
      <c r="H15" s="24" t="n">
        <v>4100</v>
      </c>
      <c r="I15" s="24" t="n">
        <v>4310</v>
      </c>
      <c r="J15" s="24" t="n">
        <v>4530</v>
      </c>
      <c r="K15" s="24" t="n">
        <v>4760</v>
      </c>
    </row>
    <row r="16" ht="18" customHeight="1">
      <c r="B16" s="21" t="inlineStr">
        <is>
          <t>Current Account Balance</t>
        </is>
      </c>
      <c r="C16" s="22" t="inlineStr">
        <is>
          <t>% GDP</t>
        </is>
      </c>
      <c r="D16" s="27" t="n">
        <v>-5.4</v>
      </c>
      <c r="E16" s="27" t="n">
        <v>-4.8</v>
      </c>
      <c r="F16" s="27" t="n">
        <v>-4.2</v>
      </c>
      <c r="G16" s="28" t="n">
        <v>-3.9</v>
      </c>
      <c r="H16" s="28" t="n">
        <v>-3.6</v>
      </c>
      <c r="I16" s="28" t="n">
        <v>-3.3</v>
      </c>
      <c r="J16" s="28" t="n">
        <v>-3.1</v>
      </c>
      <c r="K16" s="28" t="n">
        <v>-2.9</v>
      </c>
    </row>
    <row r="17" ht="18" customHeight="1">
      <c r="B17" s="25" t="inlineStr">
        <is>
          <t>FDI Inflows</t>
        </is>
      </c>
      <c r="C17" s="26" t="inlineStr">
        <is>
          <t>USD Mn</t>
        </is>
      </c>
      <c r="D17" s="23" t="n">
        <v>830</v>
      </c>
      <c r="E17" s="23" t="n">
        <v>960</v>
      </c>
      <c r="F17" s="23" t="n">
        <v>1020</v>
      </c>
      <c r="G17" s="24" t="n">
        <v>1100</v>
      </c>
      <c r="H17" s="24" t="n">
        <v>1200</v>
      </c>
      <c r="I17" s="24" t="n">
        <v>1300</v>
      </c>
      <c r="J17" s="24" t="n">
        <v>1400</v>
      </c>
      <c r="K17" s="24" t="n">
        <v>1500</v>
      </c>
    </row>
    <row r="18" ht="18" customHeight="1">
      <c r="B18" s="21" t="inlineStr">
        <is>
          <t>Gross Official Reserves</t>
        </is>
      </c>
      <c r="C18" s="22" t="inlineStr">
        <is>
          <t>Months of imports</t>
        </is>
      </c>
      <c r="D18" s="27" t="n">
        <v>3.8</v>
      </c>
      <c r="E18" s="27" t="n">
        <v>4</v>
      </c>
      <c r="F18" s="27" t="n">
        <v>4.2</v>
      </c>
      <c r="G18" s="28" t="n">
        <v>4.4</v>
      </c>
      <c r="H18" s="28" t="n">
        <v>4.6</v>
      </c>
      <c r="I18" s="28" t="n">
        <v>4.8</v>
      </c>
      <c r="J18" s="28" t="n">
        <v>5</v>
      </c>
      <c r="K18" s="28" t="n">
        <v>5.2</v>
      </c>
    </row>
    <row r="19" ht="18" customHeight="1">
      <c r="B19" s="25" t="inlineStr">
        <is>
          <t>Remittances</t>
        </is>
      </c>
      <c r="C19" s="26" t="inlineStr">
        <is>
          <t>USD Mn</t>
        </is>
      </c>
      <c r="D19" s="23" t="n">
        <v>3980</v>
      </c>
      <c r="E19" s="23" t="n">
        <v>4200</v>
      </c>
      <c r="F19" s="23" t="n">
        <v>4500</v>
      </c>
      <c r="G19" s="24" t="n">
        <v>4700</v>
      </c>
      <c r="H19" s="24" t="n">
        <v>4900</v>
      </c>
      <c r="I19" s="24" t="n">
        <v>5100</v>
      </c>
      <c r="J19" s="24" t="n">
        <v>5300</v>
      </c>
      <c r="K19" s="24" t="n">
        <v>5500</v>
      </c>
    </row>
    <row r="21" ht="8" customHeight="1"/>
    <row r="22" ht="18" customHeight="1">
      <c r="B22" s="20" t="inlineStr">
        <is>
          <t>C.  MONETARY &amp; MARKET RATES</t>
        </is>
      </c>
    </row>
    <row r="23" ht="18" customHeight="1">
      <c r="B23" s="21" t="inlineStr">
        <is>
          <t>CBK Central Bank Rate (CBR)</t>
        </is>
      </c>
      <c r="C23" s="22" t="inlineStr">
        <is>
          <t>%</t>
        </is>
      </c>
      <c r="D23" s="29" t="n">
        <v>10.5</v>
      </c>
      <c r="E23" s="29" t="n">
        <v>13</v>
      </c>
      <c r="F23" s="29" t="n">
        <v>11.25</v>
      </c>
      <c r="G23" s="30" t="n">
        <v>10.5</v>
      </c>
      <c r="H23" s="30" t="n">
        <v>9.5</v>
      </c>
      <c r="I23" s="30" t="n">
        <v>9</v>
      </c>
      <c r="J23" s="30" t="n">
        <v>9</v>
      </c>
      <c r="K23" s="30" t="n">
        <v>9</v>
      </c>
    </row>
    <row r="24" ht="18" customHeight="1">
      <c r="B24" s="25" t="inlineStr">
        <is>
          <t>91-day T-bill Rate</t>
        </is>
      </c>
      <c r="C24" s="26" t="inlineStr">
        <is>
          <t>%</t>
        </is>
      </c>
      <c r="D24" s="29" t="n">
        <v>10.1</v>
      </c>
      <c r="E24" s="29" t="n">
        <v>16</v>
      </c>
      <c r="F24" s="29" t="n">
        <v>12.8</v>
      </c>
      <c r="G24" s="30" t="n">
        <v>11.5</v>
      </c>
      <c r="H24" s="30" t="n">
        <v>10.5</v>
      </c>
      <c r="I24" s="30" t="n">
        <v>9.800000000000001</v>
      </c>
      <c r="J24" s="30" t="n">
        <v>9.5</v>
      </c>
      <c r="K24" s="30" t="n">
        <v>9.5</v>
      </c>
    </row>
    <row r="25" ht="18" customHeight="1">
      <c r="B25" s="21" t="inlineStr">
        <is>
          <t>182-day T-bill Rate</t>
        </is>
      </c>
      <c r="C25" s="22" t="inlineStr">
        <is>
          <t>%</t>
        </is>
      </c>
      <c r="D25" s="29" t="n">
        <v>10.3</v>
      </c>
      <c r="E25" s="29" t="n">
        <v>16.5</v>
      </c>
      <c r="F25" s="29" t="n">
        <v>13.2</v>
      </c>
      <c r="G25" s="30" t="n">
        <v>12</v>
      </c>
      <c r="H25" s="30" t="n">
        <v>11</v>
      </c>
      <c r="I25" s="30" t="n">
        <v>10.2</v>
      </c>
      <c r="J25" s="30" t="n">
        <v>9.800000000000001</v>
      </c>
      <c r="K25" s="30" t="n">
        <v>9.800000000000001</v>
      </c>
    </row>
    <row r="26" ht="18" customHeight="1">
      <c r="B26" s="25" t="inlineStr">
        <is>
          <t>364-day T-bill Rate</t>
        </is>
      </c>
      <c r="C26" s="26" t="inlineStr">
        <is>
          <t>%</t>
        </is>
      </c>
      <c r="D26" s="29" t="n">
        <v>10.6</v>
      </c>
      <c r="E26" s="29" t="n">
        <v>17</v>
      </c>
      <c r="F26" s="29" t="n">
        <v>13.6</v>
      </c>
      <c r="G26" s="30" t="n">
        <v>12.5</v>
      </c>
      <c r="H26" s="30" t="n">
        <v>11.5</v>
      </c>
      <c r="I26" s="30" t="n">
        <v>10.6</v>
      </c>
      <c r="J26" s="30" t="n">
        <v>10.2</v>
      </c>
      <c r="K26" s="30" t="n">
        <v>10.2</v>
      </c>
    </row>
    <row r="27" ht="18" customHeight="1">
      <c r="B27" s="21" t="inlineStr">
        <is>
          <t>2-yr Bond Yield</t>
        </is>
      </c>
      <c r="C27" s="22" t="inlineStr">
        <is>
          <t>%</t>
        </is>
      </c>
      <c r="D27" s="29" t="n">
        <v>12</v>
      </c>
      <c r="E27" s="29" t="n">
        <v>17.5</v>
      </c>
      <c r="F27" s="29" t="n">
        <v>14.5</v>
      </c>
      <c r="G27" s="30" t="n">
        <v>13.5</v>
      </c>
      <c r="H27" s="30" t="n">
        <v>12.5</v>
      </c>
      <c r="I27" s="30" t="n">
        <v>11.5</v>
      </c>
      <c r="J27" s="30" t="n">
        <v>11</v>
      </c>
      <c r="K27" s="30" t="n">
        <v>11</v>
      </c>
    </row>
    <row r="28" ht="18" customHeight="1">
      <c r="B28" s="25" t="inlineStr">
        <is>
          <t>5-yr Bond Yield</t>
        </is>
      </c>
      <c r="C28" s="26" t="inlineStr">
        <is>
          <t>%</t>
        </is>
      </c>
      <c r="D28" s="29" t="n">
        <v>13.5</v>
      </c>
      <c r="E28" s="29" t="n">
        <v>18</v>
      </c>
      <c r="F28" s="29" t="n">
        <v>15</v>
      </c>
      <c r="G28" s="30" t="n">
        <v>14</v>
      </c>
      <c r="H28" s="30" t="n">
        <v>13</v>
      </c>
      <c r="I28" s="30" t="n">
        <v>12</v>
      </c>
      <c r="J28" s="30" t="n">
        <v>11.5</v>
      </c>
      <c r="K28" s="30" t="n">
        <v>11.5</v>
      </c>
    </row>
    <row r="29" ht="18" customHeight="1">
      <c r="B29" s="21" t="inlineStr">
        <is>
          <t>10-yr Bond Yield</t>
        </is>
      </c>
      <c r="C29" s="22" t="inlineStr">
        <is>
          <t>%</t>
        </is>
      </c>
      <c r="D29" s="29" t="n">
        <v>13.8</v>
      </c>
      <c r="E29" s="29" t="n">
        <v>18.5</v>
      </c>
      <c r="F29" s="29" t="n">
        <v>15.5</v>
      </c>
      <c r="G29" s="30" t="n">
        <v>14.5</v>
      </c>
      <c r="H29" s="30" t="n">
        <v>13.5</v>
      </c>
      <c r="I29" s="30" t="n">
        <v>12.5</v>
      </c>
      <c r="J29" s="30" t="n">
        <v>12</v>
      </c>
      <c r="K29" s="30" t="n">
        <v>12</v>
      </c>
    </row>
    <row r="30" ht="18" customHeight="1">
      <c r="B30" s="25" t="inlineStr">
        <is>
          <t>Concessional External Rate</t>
        </is>
      </c>
      <c r="C30" s="26" t="inlineStr">
        <is>
          <t>%</t>
        </is>
      </c>
      <c r="D30" s="29" t="n">
        <v>1.5</v>
      </c>
      <c r="E30" s="29" t="n">
        <v>1.5</v>
      </c>
      <c r="F30" s="29" t="n">
        <v>1.5</v>
      </c>
      <c r="G30" s="30" t="n">
        <v>1.5</v>
      </c>
      <c r="H30" s="30" t="n">
        <v>1.5</v>
      </c>
      <c r="I30" s="30" t="n">
        <v>1.5</v>
      </c>
      <c r="J30" s="30" t="n">
        <v>1.5</v>
      </c>
      <c r="K30" s="30" t="n">
        <v>1.5</v>
      </c>
    </row>
    <row r="31" ht="18" customHeight="1">
      <c r="B31" s="21" t="inlineStr">
        <is>
          <t>Semi-concessional (China Exim)</t>
        </is>
      </c>
      <c r="C31" s="22" t="inlineStr">
        <is>
          <t>%</t>
        </is>
      </c>
      <c r="D31" s="29" t="n">
        <v>3</v>
      </c>
      <c r="E31" s="29" t="n">
        <v>3</v>
      </c>
      <c r="F31" s="29" t="n">
        <v>3</v>
      </c>
      <c r="G31" s="30" t="n">
        <v>3</v>
      </c>
      <c r="H31" s="30" t="n">
        <v>3</v>
      </c>
      <c r="I31" s="30" t="n">
        <v>3</v>
      </c>
      <c r="J31" s="30" t="n">
        <v>3</v>
      </c>
      <c r="K31" s="30" t="n">
        <v>3</v>
      </c>
    </row>
    <row r="32" ht="18" customHeight="1">
      <c r="B32" s="25" t="inlineStr">
        <is>
          <t>Eurobond Yield (new issuance)</t>
        </is>
      </c>
      <c r="C32" s="26" t="inlineStr">
        <is>
          <t>%</t>
        </is>
      </c>
      <c r="D32" s="29" t="n">
        <v>9.75</v>
      </c>
      <c r="E32" s="29" t="n">
        <v>10.5</v>
      </c>
      <c r="F32" s="29" t="n">
        <v>9.5</v>
      </c>
      <c r="G32" s="30" t="n">
        <v>9</v>
      </c>
      <c r="H32" s="30" t="n">
        <v>8.5</v>
      </c>
      <c r="I32" s="30" t="n">
        <v>8</v>
      </c>
      <c r="J32" s="30" t="n">
        <v>7.5</v>
      </c>
      <c r="K32" s="30" t="n">
        <v>7.5</v>
      </c>
    </row>
    <row r="34" ht="14" customHeight="1">
      <c r="B34" s="31" t="inlineStr">
        <is>
          <t>Notes: Blue = historical inputs; Yellow = projections. All rates are period averages. GDP figures use National Treasury estimates.</t>
        </is>
      </c>
    </row>
  </sheetData>
  <mergeCells count="5">
    <mergeCell ref="B22:K22"/>
    <mergeCell ref="B13:K13"/>
    <mergeCell ref="B34:K34"/>
    <mergeCell ref="B2:J2"/>
    <mergeCell ref="B5:K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3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4" customWidth="1" min="12" max="12"/>
  </cols>
  <sheetData>
    <row r="1" ht="8" customHeight="1"/>
    <row r="2" ht="30" customHeight="1">
      <c r="B2" s="18" t="inlineStr">
        <is>
          <t>MACRO-FISCAL FRAMEWORK</t>
        </is>
      </c>
    </row>
    <row r="3" ht="14" customHeight="1">
      <c r="B3" s="19" t="inlineStr">
        <is>
          <t>Item</t>
        </is>
      </c>
      <c r="C3" s="19" t="inlineStr">
        <is>
          <t>Unit</t>
        </is>
      </c>
      <c r="D3" s="112" t="inlineStr">
        <is>
          <t>FY22/23</t>
        </is>
      </c>
      <c r="E3" s="112" t="inlineStr">
        <is>
          <t>FY23/24</t>
        </is>
      </c>
      <c r="F3" s="9" t="inlineStr">
        <is>
          <t>FY24/25</t>
        </is>
      </c>
      <c r="G3" s="9" t="inlineStr">
        <is>
          <t>FY25/26</t>
        </is>
      </c>
      <c r="H3" s="9" t="inlineStr">
        <is>
          <t>FY26/27</t>
        </is>
      </c>
      <c r="I3" s="9" t="inlineStr">
        <is>
          <t>FY27/28</t>
        </is>
      </c>
      <c r="J3" s="9" t="inlineStr">
        <is>
          <t>FY28/29</t>
        </is>
      </c>
      <c r="K3" s="9" t="inlineStr">
        <is>
          <t>FY29/30</t>
        </is>
      </c>
    </row>
    <row r="4">
      <c r="B4" s="88" t="n"/>
      <c r="C4" s="88" t="n"/>
    </row>
    <row r="5" ht="8" customHeight="1"/>
    <row r="6" ht="18" customHeight="1">
      <c r="B6" s="20" t="inlineStr">
        <is>
          <t>I.  REVENUE</t>
        </is>
      </c>
    </row>
    <row r="7" ht="18" customHeight="1">
      <c r="B7" s="32" t="inlineStr">
        <is>
          <t>Total Revenue &amp; Grants</t>
        </is>
      </c>
      <c r="C7" s="33" t="inlineStr">
        <is>
          <t>KES Bn</t>
        </is>
      </c>
      <c r="D7" s="34" t="n">
        <v>1980</v>
      </c>
      <c r="E7" s="34" t="n">
        <v>2210</v>
      </c>
      <c r="F7" s="35" t="n">
        <v>2420</v>
      </c>
      <c r="G7" s="35" t="n">
        <v>2750</v>
      </c>
      <c r="H7" s="35" t="n">
        <v>3040</v>
      </c>
      <c r="I7" s="35" t="n">
        <v>3360</v>
      </c>
      <c r="J7" s="35" t="n">
        <v>3710</v>
      </c>
      <c r="K7" s="35" t="n">
        <v>4100</v>
      </c>
    </row>
    <row r="8" ht="18" customHeight="1">
      <c r="B8" s="36" t="inlineStr">
        <is>
          <t>Tax Revenue</t>
        </is>
      </c>
      <c r="C8" s="37" t="inlineStr">
        <is>
          <t>KES Bn</t>
        </is>
      </c>
      <c r="D8" s="34" t="n">
        <v>1820</v>
      </c>
      <c r="E8" s="34" t="n">
        <v>2030</v>
      </c>
      <c r="F8" s="35" t="n">
        <v>2210</v>
      </c>
      <c r="G8" s="35" t="n">
        <v>2520</v>
      </c>
      <c r="H8" s="35" t="n">
        <v>2790</v>
      </c>
      <c r="I8" s="35" t="n">
        <v>3090</v>
      </c>
      <c r="J8" s="35" t="n">
        <v>3420</v>
      </c>
      <c r="K8" s="35" t="n">
        <v>3790</v>
      </c>
    </row>
    <row r="9" ht="18" customHeight="1">
      <c r="B9" s="21" t="inlineStr">
        <is>
          <t>KRA Tax Collections</t>
        </is>
      </c>
      <c r="C9" s="33" t="inlineStr">
        <is>
          <t>KES Bn</t>
        </is>
      </c>
      <c r="D9" s="38" t="n">
        <v>1790</v>
      </c>
      <c r="E9" s="38" t="n">
        <v>2000</v>
      </c>
      <c r="F9" s="24" t="n">
        <v>2170</v>
      </c>
      <c r="G9" s="24" t="n">
        <v>2480</v>
      </c>
      <c r="H9" s="24" t="n">
        <v>2750</v>
      </c>
      <c r="I9" s="24" t="n">
        <v>3050</v>
      </c>
      <c r="J9" s="24" t="n">
        <v>3380</v>
      </c>
      <c r="K9" s="24" t="n">
        <v>3750</v>
      </c>
    </row>
    <row r="10" ht="18" customHeight="1">
      <c r="B10" s="25" t="inlineStr">
        <is>
          <t>Other Tax</t>
        </is>
      </c>
      <c r="C10" s="37" t="inlineStr">
        <is>
          <t>KES Bn</t>
        </is>
      </c>
      <c r="D10" s="38" t="n">
        <v>30</v>
      </c>
      <c r="E10" s="38" t="n">
        <v>30</v>
      </c>
      <c r="F10" s="24" t="n">
        <v>40</v>
      </c>
      <c r="G10" s="24" t="n">
        <v>40</v>
      </c>
      <c r="H10" s="24" t="n">
        <v>40</v>
      </c>
      <c r="I10" s="24" t="n">
        <v>40</v>
      </c>
      <c r="J10" s="24" t="n">
        <v>40</v>
      </c>
      <c r="K10" s="24" t="n">
        <v>40</v>
      </c>
    </row>
    <row r="11" ht="18" customHeight="1">
      <c r="B11" s="32" t="inlineStr">
        <is>
          <t>Non-Tax Revenue</t>
        </is>
      </c>
      <c r="C11" s="33" t="inlineStr">
        <is>
          <t>KES Bn</t>
        </is>
      </c>
      <c r="D11" s="34" t="n">
        <v>120</v>
      </c>
      <c r="E11" s="34" t="n">
        <v>130</v>
      </c>
      <c r="F11" s="35" t="n">
        <v>150</v>
      </c>
      <c r="G11" s="35" t="n">
        <v>170</v>
      </c>
      <c r="H11" s="35" t="n">
        <v>190</v>
      </c>
      <c r="I11" s="35" t="n">
        <v>210</v>
      </c>
      <c r="J11" s="35" t="n">
        <v>230</v>
      </c>
      <c r="K11" s="35" t="n">
        <v>250</v>
      </c>
    </row>
    <row r="12" ht="18" customHeight="1">
      <c r="B12" s="36" t="inlineStr">
        <is>
          <t>Grants</t>
        </is>
      </c>
      <c r="C12" s="37" t="inlineStr">
        <is>
          <t>KES Bn</t>
        </is>
      </c>
      <c r="D12" s="34" t="n">
        <v>40</v>
      </c>
      <c r="E12" s="34" t="n">
        <v>50</v>
      </c>
      <c r="F12" s="35" t="n">
        <v>60</v>
      </c>
      <c r="G12" s="35" t="n">
        <v>60</v>
      </c>
      <c r="H12" s="35" t="n">
        <v>60</v>
      </c>
      <c r="I12" s="35" t="n">
        <v>60</v>
      </c>
      <c r="J12" s="35" t="n">
        <v>60</v>
      </c>
      <c r="K12" s="35" t="n">
        <v>60</v>
      </c>
    </row>
    <row r="13" ht="18" customHeight="1">
      <c r="B13" s="39" t="inlineStr">
        <is>
          <t>Total Revenue / GDP</t>
        </is>
      </c>
      <c r="C13" s="37" t="inlineStr">
        <is>
          <t>% GDP</t>
        </is>
      </c>
      <c r="D13" s="40" t="n">
        <v>16.4</v>
      </c>
      <c r="E13" s="40" t="n">
        <v>16.7</v>
      </c>
      <c r="F13" s="41" t="n">
        <v>16.8</v>
      </c>
      <c r="G13" s="41" t="n">
        <v>17.4</v>
      </c>
      <c r="H13" s="41" t="n">
        <v>17.6</v>
      </c>
      <c r="I13" s="41" t="n">
        <v>17.8</v>
      </c>
      <c r="J13" s="41" t="n">
        <v>18</v>
      </c>
      <c r="K13" s="41" t="n">
        <v>18.3</v>
      </c>
    </row>
    <row r="14" ht="8" customHeight="1"/>
    <row r="15" ht="18" customHeight="1">
      <c r="B15" s="20" t="inlineStr">
        <is>
          <t>II.  EXPENDITURE</t>
        </is>
      </c>
    </row>
    <row r="16" ht="18" customHeight="1">
      <c r="B16" s="32" t="inlineStr">
        <is>
          <t>Total Expenditure &amp; Net Lending</t>
        </is>
      </c>
      <c r="C16" s="33" t="inlineStr">
        <is>
          <t>KES Bn</t>
        </is>
      </c>
      <c r="D16" s="34" t="n">
        <v>2960</v>
      </c>
      <c r="E16" s="34" t="n">
        <v>3350</v>
      </c>
      <c r="F16" s="35" t="n">
        <v>3850</v>
      </c>
      <c r="G16" s="35" t="n">
        <v>4120</v>
      </c>
      <c r="H16" s="35" t="n">
        <v>4380</v>
      </c>
      <c r="I16" s="35" t="n">
        <v>4650</v>
      </c>
      <c r="J16" s="35" t="n">
        <v>4940</v>
      </c>
      <c r="K16" s="35" t="n">
        <v>5250</v>
      </c>
    </row>
    <row r="17" ht="18" customHeight="1">
      <c r="B17" s="36" t="inlineStr">
        <is>
          <t>Recurrent Expenditure</t>
        </is>
      </c>
      <c r="C17" s="37" t="inlineStr">
        <is>
          <t>KES Bn</t>
        </is>
      </c>
      <c r="D17" s="34" t="n">
        <v>2200</v>
      </c>
      <c r="E17" s="34" t="n">
        <v>2520</v>
      </c>
      <c r="F17" s="35" t="n">
        <v>2900</v>
      </c>
      <c r="G17" s="35" t="n">
        <v>3080</v>
      </c>
      <c r="H17" s="35" t="n">
        <v>3260</v>
      </c>
      <c r="I17" s="35" t="n">
        <v>3450</v>
      </c>
      <c r="J17" s="35" t="n">
        <v>3640</v>
      </c>
      <c r="K17" s="35" t="n">
        <v>3850</v>
      </c>
    </row>
    <row r="18" ht="18" customHeight="1">
      <c r="B18" s="21" t="inlineStr">
        <is>
          <t>Wages &amp; Salaries</t>
        </is>
      </c>
      <c r="C18" s="33" t="inlineStr">
        <is>
          <t>KES Bn</t>
        </is>
      </c>
      <c r="D18" s="38" t="n">
        <v>720</v>
      </c>
      <c r="E18" s="38" t="n">
        <v>790</v>
      </c>
      <c r="F18" s="24" t="n">
        <v>870</v>
      </c>
      <c r="G18" s="24" t="n">
        <v>930</v>
      </c>
      <c r="H18" s="24" t="n">
        <v>1000</v>
      </c>
      <c r="I18" s="24" t="n">
        <v>1060</v>
      </c>
      <c r="J18" s="24" t="n">
        <v>1120</v>
      </c>
      <c r="K18" s="24" t="n">
        <v>1190</v>
      </c>
    </row>
    <row r="19" ht="18" customHeight="1">
      <c r="B19" s="25" t="inlineStr">
        <is>
          <t>Operations &amp; Maintenance</t>
        </is>
      </c>
      <c r="C19" s="37" t="inlineStr">
        <is>
          <t>KES Bn</t>
        </is>
      </c>
      <c r="D19" s="38" t="n">
        <v>380</v>
      </c>
      <c r="E19" s="38" t="n">
        <v>420</v>
      </c>
      <c r="F19" s="24" t="n">
        <v>460</v>
      </c>
      <c r="G19" s="24" t="n">
        <v>490</v>
      </c>
      <c r="H19" s="24" t="n">
        <v>520</v>
      </c>
      <c r="I19" s="24" t="n">
        <v>550</v>
      </c>
      <c r="J19" s="24" t="n">
        <v>580</v>
      </c>
      <c r="K19" s="24" t="n">
        <v>610</v>
      </c>
    </row>
    <row r="20" ht="18" customHeight="1">
      <c r="B20" s="21" t="inlineStr">
        <is>
          <t>Interest Payments</t>
        </is>
      </c>
      <c r="C20" s="33" t="inlineStr">
        <is>
          <t>KES Bn</t>
        </is>
      </c>
      <c r="D20" s="38" t="n">
        <v>780</v>
      </c>
      <c r="E20" s="38" t="n">
        <v>940</v>
      </c>
      <c r="F20" s="24" t="n">
        <v>1150</v>
      </c>
      <c r="G20" s="24" t="n">
        <v>1250</v>
      </c>
      <c r="H20" s="24" t="n">
        <v>1320</v>
      </c>
      <c r="I20" s="24" t="n">
        <v>1380</v>
      </c>
      <c r="J20" s="24" t="n">
        <v>1430</v>
      </c>
      <c r="K20" s="24" t="n">
        <v>1480</v>
      </c>
    </row>
    <row r="21" ht="18" customHeight="1">
      <c r="B21" s="25" t="inlineStr">
        <is>
          <t>Domestic Interest</t>
        </is>
      </c>
      <c r="C21" s="37" t="inlineStr">
        <is>
          <t>KES Bn</t>
        </is>
      </c>
      <c r="D21" s="38" t="n">
        <v>530</v>
      </c>
      <c r="E21" s="38" t="n">
        <v>660</v>
      </c>
      <c r="F21" s="24" t="n">
        <v>820</v>
      </c>
      <c r="G21" s="24" t="n">
        <v>880</v>
      </c>
      <c r="H21" s="24" t="n">
        <v>920</v>
      </c>
      <c r="I21" s="24" t="n">
        <v>950</v>
      </c>
      <c r="J21" s="24" t="n">
        <v>980</v>
      </c>
      <c r="K21" s="24" t="n">
        <v>1010</v>
      </c>
    </row>
    <row r="22" ht="18" customHeight="1">
      <c r="B22" s="21" t="inlineStr">
        <is>
          <t>External Interest</t>
        </is>
      </c>
      <c r="C22" s="33" t="inlineStr">
        <is>
          <t>KES Bn</t>
        </is>
      </c>
      <c r="D22" s="38" t="n">
        <v>250</v>
      </c>
      <c r="E22" s="38" t="n">
        <v>280</v>
      </c>
      <c r="F22" s="24" t="n">
        <v>330</v>
      </c>
      <c r="G22" s="24" t="n">
        <v>370</v>
      </c>
      <c r="H22" s="24" t="n">
        <v>400</v>
      </c>
      <c r="I22" s="24" t="n">
        <v>430</v>
      </c>
      <c r="J22" s="24" t="n">
        <v>450</v>
      </c>
      <c r="K22" s="24" t="n">
        <v>470</v>
      </c>
    </row>
    <row r="23" ht="18" customHeight="1">
      <c r="B23" s="25" t="inlineStr">
        <is>
          <t>Other Recurrent</t>
        </is>
      </c>
      <c r="C23" s="37" t="inlineStr">
        <is>
          <t>KES Bn</t>
        </is>
      </c>
      <c r="D23" s="38" t="n">
        <v>320</v>
      </c>
      <c r="E23" s="38" t="n">
        <v>370</v>
      </c>
      <c r="F23" s="24" t="n">
        <v>420</v>
      </c>
      <c r="G23" s="24" t="n">
        <v>460</v>
      </c>
      <c r="H23" s="24" t="n">
        <v>420</v>
      </c>
      <c r="I23" s="24" t="n">
        <v>460</v>
      </c>
      <c r="J23" s="24" t="n">
        <v>460</v>
      </c>
      <c r="K23" s="24" t="n">
        <v>570</v>
      </c>
    </row>
    <row r="24" ht="18" customHeight="1">
      <c r="B24" s="32" t="inlineStr">
        <is>
          <t>Development Expenditure</t>
        </is>
      </c>
      <c r="C24" s="33" t="inlineStr">
        <is>
          <t>KES Bn</t>
        </is>
      </c>
      <c r="D24" s="34" t="n">
        <v>580</v>
      </c>
      <c r="E24" s="34" t="n">
        <v>620</v>
      </c>
      <c r="F24" s="35" t="n">
        <v>680</v>
      </c>
      <c r="G24" s="35" t="n">
        <v>740</v>
      </c>
      <c r="H24" s="35" t="n">
        <v>790</v>
      </c>
      <c r="I24" s="35" t="n">
        <v>850</v>
      </c>
      <c r="J24" s="35" t="n">
        <v>930</v>
      </c>
      <c r="K24" s="35" t="n">
        <v>1020</v>
      </c>
    </row>
    <row r="25" ht="18" customHeight="1">
      <c r="B25" s="25" t="inlineStr">
        <is>
          <t>Domestically Financed</t>
        </is>
      </c>
      <c r="C25" s="37" t="inlineStr">
        <is>
          <t>KES Bn</t>
        </is>
      </c>
      <c r="D25" s="38" t="n">
        <v>280</v>
      </c>
      <c r="E25" s="38" t="n">
        <v>300</v>
      </c>
      <c r="F25" s="24" t="n">
        <v>320</v>
      </c>
      <c r="G25" s="24" t="n">
        <v>350</v>
      </c>
      <c r="H25" s="24" t="n">
        <v>380</v>
      </c>
      <c r="I25" s="24" t="n">
        <v>410</v>
      </c>
      <c r="J25" s="24" t="n">
        <v>450</v>
      </c>
      <c r="K25" s="24" t="n">
        <v>490</v>
      </c>
    </row>
    <row r="26" ht="18" customHeight="1">
      <c r="B26" s="21" t="inlineStr">
        <is>
          <t>Foreign Financed</t>
        </is>
      </c>
      <c r="C26" s="33" t="inlineStr">
        <is>
          <t>KES Bn</t>
        </is>
      </c>
      <c r="D26" s="38" t="n">
        <v>300</v>
      </c>
      <c r="E26" s="38" t="n">
        <v>320</v>
      </c>
      <c r="F26" s="24" t="n">
        <v>360</v>
      </c>
      <c r="G26" s="24" t="n">
        <v>390</v>
      </c>
      <c r="H26" s="24" t="n">
        <v>410</v>
      </c>
      <c r="I26" s="24" t="n">
        <v>440</v>
      </c>
      <c r="J26" s="24" t="n">
        <v>480</v>
      </c>
      <c r="K26" s="24" t="n">
        <v>530</v>
      </c>
    </row>
    <row r="27" ht="18" customHeight="1">
      <c r="B27" s="36" t="inlineStr">
        <is>
          <t>Net Lending / Conting.</t>
        </is>
      </c>
      <c r="C27" s="37" t="inlineStr">
        <is>
          <t>KES Bn</t>
        </is>
      </c>
      <c r="D27" s="34" t="n">
        <v>180</v>
      </c>
      <c r="E27" s="34" t="n">
        <v>210</v>
      </c>
      <c r="F27" s="35" t="n">
        <v>270</v>
      </c>
      <c r="G27" s="35" t="n">
        <v>300</v>
      </c>
      <c r="H27" s="35" t="n">
        <v>330</v>
      </c>
      <c r="I27" s="35" t="n">
        <v>350</v>
      </c>
      <c r="J27" s="35" t="n">
        <v>370</v>
      </c>
      <c r="K27" s="35" t="n">
        <v>380</v>
      </c>
    </row>
    <row r="28" ht="18" customHeight="1">
      <c r="B28" s="39" t="inlineStr">
        <is>
          <t>Total Expenditure / GDP</t>
        </is>
      </c>
      <c r="C28" s="37" t="inlineStr">
        <is>
          <t>% GDP</t>
        </is>
      </c>
      <c r="D28" s="40" t="n">
        <v>24.5</v>
      </c>
      <c r="E28" s="40" t="n">
        <v>25.4</v>
      </c>
      <c r="F28" s="41" t="n">
        <v>26.7</v>
      </c>
      <c r="G28" s="41" t="n">
        <v>26.1</v>
      </c>
      <c r="H28" s="41" t="n">
        <v>25.3</v>
      </c>
      <c r="I28" s="41" t="n">
        <v>24.6</v>
      </c>
      <c r="J28" s="41" t="n">
        <v>24</v>
      </c>
      <c r="K28" s="41" t="n">
        <v>23.4</v>
      </c>
    </row>
    <row r="29" ht="8" customHeight="1"/>
    <row r="30" ht="18" customHeight="1">
      <c r="B30" s="20" t="inlineStr">
        <is>
          <t>III.  FISCAL BALANCES</t>
        </is>
      </c>
    </row>
    <row r="31" ht="18" customHeight="1">
      <c r="B31" s="32" t="inlineStr">
        <is>
          <t>Overall Fiscal Balance (KES Bn)</t>
        </is>
      </c>
      <c r="C31" s="33" t="inlineStr">
        <is>
          <t>—</t>
        </is>
      </c>
      <c r="D31" s="34" t="n">
        <v>-980</v>
      </c>
      <c r="E31" s="34" t="n">
        <v>-1140</v>
      </c>
      <c r="F31" s="35" t="n">
        <v>-1430</v>
      </c>
      <c r="G31" s="35" t="n">
        <v>-1370</v>
      </c>
      <c r="H31" s="35" t="n">
        <v>-1340</v>
      </c>
      <c r="I31" s="35" t="n">
        <v>-1290</v>
      </c>
      <c r="J31" s="35" t="n">
        <v>-1230</v>
      </c>
      <c r="K31" s="35" t="n">
        <v>-1150</v>
      </c>
    </row>
    <row r="32" ht="18" customHeight="1">
      <c r="B32" s="36" t="inlineStr">
        <is>
          <t>Overall Fiscal Balance (% GDP)</t>
        </is>
      </c>
      <c r="C32" s="37" t="inlineStr">
        <is>
          <t>—</t>
        </is>
      </c>
      <c r="D32" s="42" t="n">
        <v>-8.1</v>
      </c>
      <c r="E32" s="42" t="n">
        <v>-8.6</v>
      </c>
      <c r="F32" s="41" t="n">
        <v>-9.9</v>
      </c>
      <c r="G32" s="41" t="n">
        <v>-8.699999999999999</v>
      </c>
      <c r="H32" s="41" t="n">
        <v>-7.7</v>
      </c>
      <c r="I32" s="41" t="n">
        <v>-6.8</v>
      </c>
      <c r="J32" s="41" t="n">
        <v>-6</v>
      </c>
      <c r="K32" s="41" t="n">
        <v>-5.1</v>
      </c>
    </row>
    <row r="33" ht="18" customHeight="1">
      <c r="B33" s="32" t="inlineStr">
        <is>
          <t>Primary Balance (KES Bn)</t>
        </is>
      </c>
      <c r="C33" s="33" t="inlineStr">
        <is>
          <t>—</t>
        </is>
      </c>
      <c r="D33" s="34" t="n">
        <v>-200</v>
      </c>
      <c r="E33" s="34" t="n">
        <v>-200</v>
      </c>
      <c r="F33" s="35" t="n">
        <v>-280</v>
      </c>
      <c r="G33" s="35" t="n">
        <v>-120</v>
      </c>
      <c r="H33" s="35" t="n">
        <v>-20</v>
      </c>
      <c r="I33" s="35" t="n">
        <v>90</v>
      </c>
      <c r="J33" s="35" t="n">
        <v>200</v>
      </c>
      <c r="K33" s="35" t="n">
        <v>330</v>
      </c>
    </row>
    <row r="34" ht="18" customHeight="1">
      <c r="B34" s="36" t="inlineStr">
        <is>
          <t>Primary Balance (% GDP)</t>
        </is>
      </c>
      <c r="C34" s="37" t="inlineStr">
        <is>
          <t>—</t>
        </is>
      </c>
      <c r="D34" s="42" t="n">
        <v>-1.7</v>
      </c>
      <c r="E34" s="42" t="n">
        <v>-1.5</v>
      </c>
      <c r="F34" s="41" t="n">
        <v>-1.9</v>
      </c>
      <c r="G34" s="41" t="n">
        <v>-0.8</v>
      </c>
      <c r="H34" s="41" t="n">
        <v>-0.1</v>
      </c>
      <c r="I34" s="41" t="n">
        <v>0.5</v>
      </c>
      <c r="J34" s="41" t="n">
        <v>1</v>
      </c>
      <c r="K34" s="41" t="n">
        <v>1.5</v>
      </c>
    </row>
    <row r="35" ht="18" customHeight="1">
      <c r="B35" s="32" t="inlineStr">
        <is>
          <t>Financing Gap (KES Bn)</t>
        </is>
      </c>
      <c r="C35" s="33" t="inlineStr">
        <is>
          <t>—</t>
        </is>
      </c>
      <c r="D35" s="34" t="n">
        <v>980</v>
      </c>
      <c r="E35" s="34" t="n">
        <v>1140</v>
      </c>
      <c r="F35" s="35" t="n">
        <v>1430</v>
      </c>
      <c r="G35" s="35" t="n">
        <v>1370</v>
      </c>
      <c r="H35" s="35" t="n">
        <v>1340</v>
      </c>
      <c r="I35" s="35" t="n">
        <v>1290</v>
      </c>
      <c r="J35" s="35" t="n">
        <v>1230</v>
      </c>
      <c r="K35" s="35" t="n">
        <v>1150</v>
      </c>
    </row>
    <row r="36" ht="8" customHeight="1"/>
    <row r="37" ht="18" customHeight="1">
      <c r="B37" s="43" t="inlineStr">
        <is>
          <t>MEMO</t>
        </is>
      </c>
    </row>
    <row r="38" ht="18" customHeight="1">
      <c r="B38" s="32" t="inlineStr">
        <is>
          <t>Nominal GDP</t>
        </is>
      </c>
      <c r="C38" s="33" t="inlineStr">
        <is>
          <t>KES Bn</t>
        </is>
      </c>
      <c r="D38" s="44" t="n">
        <v>12100</v>
      </c>
      <c r="E38" s="44" t="n">
        <v>13200</v>
      </c>
      <c r="F38" s="45" t="n">
        <v>14400</v>
      </c>
      <c r="G38" s="45" t="n">
        <v>15800</v>
      </c>
      <c r="H38" s="45" t="n">
        <v>17300</v>
      </c>
      <c r="I38" s="45" t="n">
        <v>18900</v>
      </c>
      <c r="J38" s="45" t="n">
        <v>20600</v>
      </c>
      <c r="K38" s="45" t="n">
        <v>22400</v>
      </c>
    </row>
  </sheetData>
  <mergeCells count="7">
    <mergeCell ref="C3:C4"/>
    <mergeCell ref="B3:B4"/>
    <mergeCell ref="B30:K30"/>
    <mergeCell ref="B15:K15"/>
    <mergeCell ref="B6:K6"/>
    <mergeCell ref="B2:K2"/>
    <mergeCell ref="B37:K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4" customWidth="1" min="11" max="11"/>
  </cols>
  <sheetData>
    <row r="1" ht="8" customHeight="1"/>
    <row r="2" ht="30" customHeight="1">
      <c r="B2" s="18" t="inlineStr">
        <is>
          <t>DEBT STOCK — FULL PORTFOLIO</t>
        </is>
      </c>
    </row>
    <row r="3" ht="18" customHeight="1">
      <c r="B3" s="19" t="inlineStr">
        <is>
          <t>Category / Creditor</t>
        </is>
      </c>
      <c r="C3" s="112" t="inlineStr">
        <is>
          <t>FY22/23</t>
        </is>
      </c>
      <c r="D3" s="112" t="inlineStr">
        <is>
          <t>FY23/24</t>
        </is>
      </c>
      <c r="E3" s="9" t="inlineStr">
        <is>
          <t>FY24/25</t>
        </is>
      </c>
      <c r="F3" s="9" t="inlineStr">
        <is>
          <t>FY25/26</t>
        </is>
      </c>
      <c r="G3" s="9" t="inlineStr">
        <is>
          <t>FY26/27</t>
        </is>
      </c>
      <c r="H3" s="9" t="inlineStr">
        <is>
          <t>FY27/28</t>
        </is>
      </c>
      <c r="I3" s="9" t="inlineStr">
        <is>
          <t>FY28/29</t>
        </is>
      </c>
      <c r="J3" s="9" t="inlineStr">
        <is>
          <t>FY29/30</t>
        </is>
      </c>
    </row>
    <row r="4" ht="8" customHeight="1"/>
    <row r="5" ht="18" customHeight="1">
      <c r="B5" s="20" t="inlineStr">
        <is>
          <t>I.  DOMESTIC DEBT</t>
        </is>
      </c>
    </row>
    <row r="6" ht="18" customHeight="1">
      <c r="B6" s="32" t="inlineStr">
        <is>
          <t>DOMESTIC DEBT (Gross)</t>
        </is>
      </c>
      <c r="C6" s="34" t="n">
        <v>2300</v>
      </c>
      <c r="D6" s="34" t="n">
        <v>2680</v>
      </c>
      <c r="E6" s="35" t="n">
        <v>2890</v>
      </c>
      <c r="F6" s="35" t="n">
        <v>3030</v>
      </c>
      <c r="G6" s="35" t="n">
        <v>3080</v>
      </c>
      <c r="H6" s="35" t="n">
        <v>3090</v>
      </c>
      <c r="I6" s="35" t="n">
        <v>3080</v>
      </c>
      <c r="J6" s="35" t="n">
        <v>3080</v>
      </c>
    </row>
    <row r="7" ht="18" customHeight="1">
      <c r="B7" s="25" t="inlineStr">
        <is>
          <t xml:space="preserve">  T-Bills (Total)</t>
        </is>
      </c>
      <c r="C7" s="46" t="n">
        <v>850</v>
      </c>
      <c r="D7" s="46" t="n">
        <v>950</v>
      </c>
      <c r="E7" s="24" t="n">
        <v>1040</v>
      </c>
      <c r="F7" s="24" t="n">
        <v>1080</v>
      </c>
      <c r="G7" s="24" t="n">
        <v>1090</v>
      </c>
      <c r="H7" s="24" t="n">
        <v>1090</v>
      </c>
      <c r="I7" s="24" t="n">
        <v>1080</v>
      </c>
      <c r="J7" s="24" t="n">
        <v>1080</v>
      </c>
    </row>
    <row r="8" ht="18" customHeight="1">
      <c r="B8" s="21" t="inlineStr">
        <is>
          <t xml:space="preserve">    91-day</t>
        </is>
      </c>
      <c r="C8" s="38" t="n">
        <v>320</v>
      </c>
      <c r="D8" s="38" t="n">
        <v>370</v>
      </c>
      <c r="E8" s="24" t="n">
        <v>400</v>
      </c>
      <c r="F8" s="24" t="n">
        <v>420</v>
      </c>
      <c r="G8" s="24" t="n">
        <v>430</v>
      </c>
      <c r="H8" s="24" t="n">
        <v>430</v>
      </c>
      <c r="I8" s="24" t="n">
        <v>430</v>
      </c>
      <c r="J8" s="24" t="n">
        <v>430</v>
      </c>
    </row>
    <row r="9" ht="18" customHeight="1">
      <c r="B9" s="25" t="inlineStr">
        <is>
          <t xml:space="preserve">    182-day</t>
        </is>
      </c>
      <c r="C9" s="46" t="n">
        <v>180</v>
      </c>
      <c r="D9" s="46" t="n">
        <v>200</v>
      </c>
      <c r="E9" s="24" t="n">
        <v>220</v>
      </c>
      <c r="F9" s="24" t="n">
        <v>230</v>
      </c>
      <c r="G9" s="24" t="n">
        <v>230</v>
      </c>
      <c r="H9" s="24" t="n">
        <v>230</v>
      </c>
      <c r="I9" s="24" t="n">
        <v>230</v>
      </c>
      <c r="J9" s="24" t="n">
        <v>230</v>
      </c>
    </row>
    <row r="10" ht="18" customHeight="1">
      <c r="B10" s="21" t="inlineStr">
        <is>
          <t xml:space="preserve">    364-day</t>
        </is>
      </c>
      <c r="C10" s="38" t="n">
        <v>350</v>
      </c>
      <c r="D10" s="38" t="n">
        <v>380</v>
      </c>
      <c r="E10" s="24" t="n">
        <v>420</v>
      </c>
      <c r="F10" s="24" t="n">
        <v>430</v>
      </c>
      <c r="G10" s="24" t="n">
        <v>430</v>
      </c>
      <c r="H10" s="24" t="n">
        <v>430</v>
      </c>
      <c r="I10" s="24" t="n">
        <v>420</v>
      </c>
      <c r="J10" s="24" t="n">
        <v>420</v>
      </c>
    </row>
    <row r="11" ht="18" customHeight="1">
      <c r="B11" s="25" t="inlineStr">
        <is>
          <t xml:space="preserve">  Bonds (Total)</t>
        </is>
      </c>
      <c r="C11" s="46" t="n">
        <v>1300</v>
      </c>
      <c r="D11" s="46" t="n">
        <v>1550</v>
      </c>
      <c r="E11" s="24" t="n">
        <v>1740</v>
      </c>
      <c r="F11" s="24" t="n">
        <v>1870</v>
      </c>
      <c r="G11" s="24" t="n">
        <v>1930</v>
      </c>
      <c r="H11" s="24" t="n">
        <v>1960</v>
      </c>
      <c r="I11" s="24" t="n">
        <v>1980</v>
      </c>
      <c r="J11" s="24" t="n">
        <v>2000</v>
      </c>
    </row>
    <row r="12" ht="18" customHeight="1">
      <c r="B12" s="21" t="inlineStr">
        <is>
          <t xml:space="preserve">    2-year</t>
        </is>
      </c>
      <c r="C12" s="38" t="n">
        <v>180</v>
      </c>
      <c r="D12" s="38" t="n">
        <v>200</v>
      </c>
      <c r="E12" s="24" t="n">
        <v>210</v>
      </c>
      <c r="F12" s="24" t="n">
        <v>220</v>
      </c>
      <c r="G12" s="24" t="n">
        <v>220</v>
      </c>
      <c r="H12" s="24" t="n">
        <v>220</v>
      </c>
      <c r="I12" s="24" t="n">
        <v>220</v>
      </c>
      <c r="J12" s="24" t="n">
        <v>220</v>
      </c>
    </row>
    <row r="13" ht="18" customHeight="1">
      <c r="B13" s="25" t="inlineStr">
        <is>
          <t xml:space="preserve">    5-year</t>
        </is>
      </c>
      <c r="C13" s="46" t="n">
        <v>320</v>
      </c>
      <c r="D13" s="46" t="n">
        <v>380</v>
      </c>
      <c r="E13" s="24" t="n">
        <v>420</v>
      </c>
      <c r="F13" s="24" t="n">
        <v>450</v>
      </c>
      <c r="G13" s="24" t="n">
        <v>460</v>
      </c>
      <c r="H13" s="24" t="n">
        <v>460</v>
      </c>
      <c r="I13" s="24" t="n">
        <v>460</v>
      </c>
      <c r="J13" s="24" t="n">
        <v>460</v>
      </c>
    </row>
    <row r="14" ht="18" customHeight="1">
      <c r="B14" s="21" t="inlineStr">
        <is>
          <t xml:space="preserve">    10-year</t>
        </is>
      </c>
      <c r="C14" s="38" t="n">
        <v>520</v>
      </c>
      <c r="D14" s="38" t="n">
        <v>640</v>
      </c>
      <c r="E14" s="24" t="n">
        <v>730</v>
      </c>
      <c r="F14" s="24" t="n">
        <v>790</v>
      </c>
      <c r="G14" s="24" t="n">
        <v>810</v>
      </c>
      <c r="H14" s="24" t="n">
        <v>820</v>
      </c>
      <c r="I14" s="24" t="n">
        <v>820</v>
      </c>
      <c r="J14" s="24" t="n">
        <v>820</v>
      </c>
    </row>
    <row r="15" ht="18" customHeight="1">
      <c r="B15" s="25" t="inlineStr">
        <is>
          <t xml:space="preserve">    15-year</t>
        </is>
      </c>
      <c r="C15" s="46" t="n">
        <v>160</v>
      </c>
      <c r="D15" s="46" t="n">
        <v>180</v>
      </c>
      <c r="E15" s="24" t="n">
        <v>200</v>
      </c>
      <c r="F15" s="24" t="n">
        <v>210</v>
      </c>
      <c r="G15" s="24" t="n">
        <v>220</v>
      </c>
      <c r="H15" s="24" t="n">
        <v>220</v>
      </c>
      <c r="I15" s="24" t="n">
        <v>220</v>
      </c>
      <c r="J15" s="24" t="n">
        <v>220</v>
      </c>
    </row>
    <row r="16" ht="18" customHeight="1">
      <c r="B16" s="21" t="inlineStr">
        <is>
          <t xml:space="preserve">    25-year</t>
        </is>
      </c>
      <c r="C16" s="38" t="n">
        <v>80</v>
      </c>
      <c r="D16" s="38" t="n">
        <v>100</v>
      </c>
      <c r="E16" s="24" t="n">
        <v>120</v>
      </c>
      <c r="F16" s="24" t="n">
        <v>130</v>
      </c>
      <c r="G16" s="24" t="n">
        <v>140</v>
      </c>
      <c r="H16" s="24" t="n">
        <v>150</v>
      </c>
      <c r="I16" s="24" t="n">
        <v>160</v>
      </c>
      <c r="J16" s="24" t="n">
        <v>170</v>
      </c>
    </row>
    <row r="17" ht="18" customHeight="1">
      <c r="B17" s="25" t="inlineStr">
        <is>
          <t xml:space="preserve">    Infrastructure Bond</t>
        </is>
      </c>
      <c r="C17" s="46" t="n">
        <v>40</v>
      </c>
      <c r="D17" s="46" t="n">
        <v>50</v>
      </c>
      <c r="E17" s="24" t="n">
        <v>60</v>
      </c>
      <c r="F17" s="24" t="n">
        <v>70</v>
      </c>
      <c r="G17" s="24" t="n">
        <v>80</v>
      </c>
      <c r="H17" s="24" t="n">
        <v>90</v>
      </c>
      <c r="I17" s="24" t="n">
        <v>100</v>
      </c>
      <c r="J17" s="24" t="n">
        <v>110</v>
      </c>
    </row>
    <row r="18" ht="18" customHeight="1">
      <c r="B18" s="21" t="inlineStr">
        <is>
          <t xml:space="preserve">  CBK Overdraft</t>
        </is>
      </c>
      <c r="C18" s="38" t="n">
        <v>150</v>
      </c>
      <c r="D18" s="38" t="n">
        <v>180</v>
      </c>
      <c r="E18" s="24" t="n">
        <v>110</v>
      </c>
      <c r="F18" s="24" t="n">
        <v>80</v>
      </c>
      <c r="G18" s="24" t="n">
        <v>60</v>
      </c>
      <c r="H18" s="24" t="n">
        <v>40</v>
      </c>
      <c r="I18" s="24" t="n">
        <v>20</v>
      </c>
      <c r="J18" s="24" t="n">
        <v>0</v>
      </c>
    </row>
    <row r="19" ht="18" customHeight="1">
      <c r="B19" s="25" t="inlineStr">
        <is>
          <t>── Holder Breakdown ──</t>
        </is>
      </c>
      <c r="C19" s="46" t="n"/>
      <c r="D19" s="46" t="n"/>
      <c r="E19" s="24" t="n"/>
      <c r="F19" s="24" t="n"/>
      <c r="G19" s="24" t="n"/>
      <c r="H19" s="24" t="n"/>
      <c r="I19" s="24" t="n"/>
      <c r="J19" s="24" t="n"/>
    </row>
    <row r="20" ht="18" customHeight="1">
      <c r="B20" s="21" t="inlineStr">
        <is>
          <t xml:space="preserve">  Commercial Banks</t>
        </is>
      </c>
      <c r="C20" s="38" t="n">
        <v>1035</v>
      </c>
      <c r="D20" s="38" t="n">
        <v>1206</v>
      </c>
      <c r="E20" s="24" t="n">
        <v>1300.5</v>
      </c>
      <c r="F20" s="24" t="n">
        <v>1363.5</v>
      </c>
      <c r="G20" s="24" t="n">
        <v>1386</v>
      </c>
      <c r="H20" s="24" t="n">
        <v>1390.5</v>
      </c>
      <c r="I20" s="24" t="n">
        <v>1386</v>
      </c>
      <c r="J20" s="24" t="n">
        <v>1386</v>
      </c>
    </row>
    <row r="21" ht="18" customHeight="1">
      <c r="B21" s="25" t="inlineStr">
        <is>
          <t xml:space="preserve">  Pension Funds</t>
        </is>
      </c>
      <c r="C21" s="46" t="n">
        <v>690</v>
      </c>
      <c r="D21" s="46" t="n">
        <v>804</v>
      </c>
      <c r="E21" s="24" t="n">
        <v>867</v>
      </c>
      <c r="F21" s="24" t="n">
        <v>909</v>
      </c>
      <c r="G21" s="24" t="n">
        <v>924</v>
      </c>
      <c r="H21" s="24" t="n">
        <v>927</v>
      </c>
      <c r="I21" s="24" t="n">
        <v>924</v>
      </c>
      <c r="J21" s="24" t="n">
        <v>924</v>
      </c>
    </row>
    <row r="22" ht="18" customHeight="1">
      <c r="B22" s="21" t="inlineStr">
        <is>
          <t xml:space="preserve">  CBK</t>
        </is>
      </c>
      <c r="C22" s="38" t="n">
        <v>414</v>
      </c>
      <c r="D22" s="38" t="n">
        <v>482.4</v>
      </c>
      <c r="E22" s="24" t="n">
        <v>520.2</v>
      </c>
      <c r="F22" s="24" t="n">
        <v>545.4</v>
      </c>
      <c r="G22" s="24" t="n">
        <v>554.4</v>
      </c>
      <c r="H22" s="24" t="n">
        <v>556.2</v>
      </c>
      <c r="I22" s="24" t="n">
        <v>554.4</v>
      </c>
      <c r="J22" s="24" t="n">
        <v>554.4</v>
      </c>
    </row>
    <row r="23" ht="18" customHeight="1">
      <c r="B23" s="25" t="inlineStr">
        <is>
          <t xml:space="preserve">  Other (incl. insurance)</t>
        </is>
      </c>
      <c r="C23" s="46" t="n">
        <v>161</v>
      </c>
      <c r="D23" s="46" t="n">
        <v>187.6</v>
      </c>
      <c r="E23" s="24" t="n">
        <v>202.3</v>
      </c>
      <c r="F23" s="24" t="n">
        <v>212.1</v>
      </c>
      <c r="G23" s="24" t="n">
        <v>215.6</v>
      </c>
      <c r="H23" s="24" t="n">
        <v>216.3</v>
      </c>
      <c r="I23" s="24" t="n">
        <v>215.6</v>
      </c>
      <c r="J23" s="24" t="n">
        <v>215.6</v>
      </c>
    </row>
    <row r="24" ht="18" customHeight="1">
      <c r="B24" s="39" t="inlineStr">
        <is>
          <t>Domestic Debt / GDP</t>
        </is>
      </c>
      <c r="C24" s="40" t="n">
        <v>19</v>
      </c>
      <c r="D24" s="40" t="n">
        <v>20.3</v>
      </c>
      <c r="E24" s="41" t="n">
        <v>20.1</v>
      </c>
      <c r="F24" s="41" t="n">
        <v>19.2</v>
      </c>
      <c r="G24" s="41" t="n">
        <v>17.8</v>
      </c>
      <c r="H24" s="41" t="n">
        <v>16.3</v>
      </c>
      <c r="I24" s="41" t="n">
        <v>15</v>
      </c>
      <c r="J24" s="41" t="n">
        <v>13.8</v>
      </c>
    </row>
    <row r="25" ht="8" customHeight="1"/>
    <row r="26" ht="8" customHeight="1"/>
    <row r="27" ht="18" customHeight="1">
      <c r="B27" s="47" t="inlineStr">
        <is>
          <t>II.  EXTERNAL DEBT</t>
        </is>
      </c>
    </row>
    <row r="28" ht="18" customHeight="1">
      <c r="B28" s="32" t="inlineStr">
        <is>
          <t>EXTERNAL DEBT (Gross, KES Bn)</t>
        </is>
      </c>
      <c r="C28" s="34" t="n">
        <v>4160</v>
      </c>
      <c r="D28" s="34" t="n">
        <v>4510</v>
      </c>
      <c r="E28" s="35" t="n">
        <v>4475</v>
      </c>
      <c r="F28" s="35" t="n">
        <v>4495</v>
      </c>
      <c r="G28" s="35" t="n">
        <v>4480</v>
      </c>
      <c r="H28" s="35" t="n">
        <v>4435</v>
      </c>
      <c r="I28" s="35" t="n">
        <v>4360</v>
      </c>
      <c r="J28" s="35" t="n">
        <v>4270</v>
      </c>
    </row>
    <row r="29" ht="18" customHeight="1">
      <c r="B29" s="25" t="inlineStr">
        <is>
          <t xml:space="preserve">  Multilateral</t>
        </is>
      </c>
      <c r="C29" s="46" t="n">
        <v>1850</v>
      </c>
      <c r="D29" s="46" t="n">
        <v>2100</v>
      </c>
      <c r="E29" s="24" t="n">
        <v>2180</v>
      </c>
      <c r="F29" s="24" t="n">
        <v>2200</v>
      </c>
      <c r="G29" s="24" t="n">
        <v>2200</v>
      </c>
      <c r="H29" s="24" t="n">
        <v>2185</v>
      </c>
      <c r="I29" s="24" t="n">
        <v>2150</v>
      </c>
      <c r="J29" s="24" t="n">
        <v>2100</v>
      </c>
    </row>
    <row r="30" ht="18" customHeight="1">
      <c r="B30" s="21" t="inlineStr">
        <is>
          <t xml:space="preserve">    World Bank (IDA)</t>
        </is>
      </c>
      <c r="C30" s="38" t="n">
        <v>1120</v>
      </c>
      <c r="D30" s="38" t="n">
        <v>1250</v>
      </c>
      <c r="E30" s="24" t="n">
        <v>1310</v>
      </c>
      <c r="F30" s="24" t="n">
        <v>1340</v>
      </c>
      <c r="G30" s="24" t="n">
        <v>1360</v>
      </c>
      <c r="H30" s="24" t="n">
        <v>1370</v>
      </c>
      <c r="I30" s="24" t="n">
        <v>1370</v>
      </c>
      <c r="J30" s="24" t="n">
        <v>1360</v>
      </c>
    </row>
    <row r="31" ht="18" customHeight="1">
      <c r="B31" s="25" t="inlineStr">
        <is>
          <t xml:space="preserve">    African Dev. Bank (AfDB)</t>
        </is>
      </c>
      <c r="C31" s="46" t="n">
        <v>420</v>
      </c>
      <c r="D31" s="46" t="n">
        <v>460</v>
      </c>
      <c r="E31" s="24" t="n">
        <v>490</v>
      </c>
      <c r="F31" s="24" t="n">
        <v>510</v>
      </c>
      <c r="G31" s="24" t="n">
        <v>520</v>
      </c>
      <c r="H31" s="24" t="n">
        <v>525</v>
      </c>
      <c r="I31" s="24" t="n">
        <v>520</v>
      </c>
      <c r="J31" s="24" t="n">
        <v>510</v>
      </c>
    </row>
    <row r="32" ht="18" customHeight="1">
      <c r="B32" s="21" t="inlineStr">
        <is>
          <t xml:space="preserve">    IMF (incl. RCF/ECF)</t>
        </is>
      </c>
      <c r="C32" s="38" t="n">
        <v>310</v>
      </c>
      <c r="D32" s="38" t="n">
        <v>390</v>
      </c>
      <c r="E32" s="24" t="n">
        <v>380</v>
      </c>
      <c r="F32" s="24" t="n">
        <v>350</v>
      </c>
      <c r="G32" s="24" t="n">
        <v>320</v>
      </c>
      <c r="H32" s="24" t="n">
        <v>290</v>
      </c>
      <c r="I32" s="24" t="n">
        <v>260</v>
      </c>
      <c r="J32" s="24" t="n">
        <v>230</v>
      </c>
    </row>
    <row r="33" ht="18" customHeight="1">
      <c r="B33" s="25" t="inlineStr">
        <is>
          <t xml:space="preserve">  Bilateral</t>
        </is>
      </c>
      <c r="C33" s="46" t="n">
        <v>1430</v>
      </c>
      <c r="D33" s="46" t="n">
        <v>1490</v>
      </c>
      <c r="E33" s="24" t="n">
        <v>1515</v>
      </c>
      <c r="F33" s="24" t="n">
        <v>1515</v>
      </c>
      <c r="G33" s="24" t="n">
        <v>1500</v>
      </c>
      <c r="H33" s="24" t="n">
        <v>1470</v>
      </c>
      <c r="I33" s="24" t="n">
        <v>1430</v>
      </c>
      <c r="J33" s="24" t="n">
        <v>1390</v>
      </c>
    </row>
    <row r="34" ht="18" customHeight="1">
      <c r="B34" s="21" t="inlineStr">
        <is>
          <t xml:space="preserve">    China Exim Bank</t>
        </is>
      </c>
      <c r="C34" s="38" t="n">
        <v>980</v>
      </c>
      <c r="D34" s="38" t="n">
        <v>1050</v>
      </c>
      <c r="E34" s="24" t="n">
        <v>1080</v>
      </c>
      <c r="F34" s="24" t="n">
        <v>1090</v>
      </c>
      <c r="G34" s="24" t="n">
        <v>1090</v>
      </c>
      <c r="H34" s="24" t="n">
        <v>1080</v>
      </c>
      <c r="I34" s="24" t="n">
        <v>1060</v>
      </c>
      <c r="J34" s="24" t="n">
        <v>1040</v>
      </c>
    </row>
    <row r="35" ht="18" customHeight="1">
      <c r="B35" s="25" t="inlineStr">
        <is>
          <t xml:space="preserve">    Paris Club</t>
        </is>
      </c>
      <c r="C35" s="46" t="n">
        <v>220</v>
      </c>
      <c r="D35" s="46" t="n">
        <v>200</v>
      </c>
      <c r="E35" s="24" t="n">
        <v>185</v>
      </c>
      <c r="F35" s="24" t="n">
        <v>170</v>
      </c>
      <c r="G35" s="24" t="n">
        <v>155</v>
      </c>
      <c r="H35" s="24" t="n">
        <v>140</v>
      </c>
      <c r="I35" s="24" t="n">
        <v>125</v>
      </c>
      <c r="J35" s="24" t="n">
        <v>110</v>
      </c>
    </row>
    <row r="36" ht="18" customHeight="1">
      <c r="B36" s="21" t="inlineStr">
        <is>
          <t xml:space="preserve">    Other Bilateral</t>
        </is>
      </c>
      <c r="C36" s="38" t="n">
        <v>230</v>
      </c>
      <c r="D36" s="38" t="n">
        <v>240</v>
      </c>
      <c r="E36" s="24" t="n">
        <v>250</v>
      </c>
      <c r="F36" s="24" t="n">
        <v>255</v>
      </c>
      <c r="G36" s="24" t="n">
        <v>255</v>
      </c>
      <c r="H36" s="24" t="n">
        <v>250</v>
      </c>
      <c r="I36" s="24" t="n">
        <v>245</v>
      </c>
      <c r="J36" s="24" t="n">
        <v>240</v>
      </c>
    </row>
    <row r="37" ht="18" customHeight="1">
      <c r="B37" s="25" t="inlineStr">
        <is>
          <t xml:space="preserve">  Commercial / Market</t>
        </is>
      </c>
      <c r="C37" s="46" t="n">
        <v>880</v>
      </c>
      <c r="D37" s="46" t="n">
        <v>920</v>
      </c>
      <c r="E37" s="24" t="n">
        <v>780</v>
      </c>
      <c r="F37" s="24" t="n">
        <v>780</v>
      </c>
      <c r="G37" s="24" t="n">
        <v>780</v>
      </c>
      <c r="H37" s="24" t="n">
        <v>780</v>
      </c>
      <c r="I37" s="24" t="n">
        <v>780</v>
      </c>
      <c r="J37" s="24" t="n">
        <v>780</v>
      </c>
    </row>
    <row r="38" ht="18" customHeight="1">
      <c r="B38" s="21" t="inlineStr">
        <is>
          <t xml:space="preserve">    Eurobonds</t>
        </is>
      </c>
      <c r="C38" s="38" t="n">
        <v>880</v>
      </c>
      <c r="D38" s="38" t="n">
        <v>920</v>
      </c>
      <c r="E38" s="24" t="n">
        <v>780</v>
      </c>
      <c r="F38" s="24" t="n">
        <v>780</v>
      </c>
      <c r="G38" s="24" t="n">
        <v>780</v>
      </c>
      <c r="H38" s="24" t="n">
        <v>780</v>
      </c>
      <c r="I38" s="24" t="n">
        <v>780</v>
      </c>
      <c r="J38" s="24" t="n">
        <v>780</v>
      </c>
    </row>
    <row r="39" ht="18" customHeight="1">
      <c r="B39" s="39" t="inlineStr">
        <is>
          <t>External Debt / GDP</t>
        </is>
      </c>
      <c r="C39" s="40" t="n">
        <v>34.4</v>
      </c>
      <c r="D39" s="40" t="n">
        <v>34.2</v>
      </c>
      <c r="E39" s="41" t="n">
        <v>31.1</v>
      </c>
      <c r="F39" s="41" t="n">
        <v>28.4</v>
      </c>
      <c r="G39" s="41" t="n">
        <v>25.9</v>
      </c>
      <c r="H39" s="41" t="n">
        <v>23.5</v>
      </c>
      <c r="I39" s="41" t="n">
        <v>21.2</v>
      </c>
      <c r="J39" s="41" t="n">
        <v>19.1</v>
      </c>
    </row>
    <row r="40" ht="8" customHeight="1"/>
    <row r="41" ht="8" customHeight="1"/>
    <row r="42" ht="18" customHeight="1">
      <c r="B42" s="48" t="inlineStr">
        <is>
          <t>III.  GUARANTEED DEBT (State Guarantees)</t>
        </is>
      </c>
    </row>
    <row r="43" ht="18" customHeight="1">
      <c r="B43" s="32" t="inlineStr">
        <is>
          <t>GUARANTEED DEBT (Total)</t>
        </is>
      </c>
      <c r="C43" s="34" t="n">
        <v>220</v>
      </c>
      <c r="D43" s="34" t="n">
        <v>209</v>
      </c>
      <c r="E43" s="35" t="n">
        <v>198</v>
      </c>
      <c r="F43" s="35" t="n">
        <v>189</v>
      </c>
      <c r="G43" s="35" t="n">
        <v>180</v>
      </c>
      <c r="H43" s="35" t="n">
        <v>173</v>
      </c>
      <c r="I43" s="35" t="n">
        <v>169</v>
      </c>
      <c r="J43" s="35" t="n">
        <v>165</v>
      </c>
    </row>
    <row r="44" ht="18" customHeight="1">
      <c r="B44" s="25" t="inlineStr">
        <is>
          <t xml:space="preserve">  KenGen</t>
        </is>
      </c>
      <c r="C44" s="46" t="n">
        <v>100</v>
      </c>
      <c r="D44" s="46" t="n">
        <v>95</v>
      </c>
      <c r="E44" s="24" t="n">
        <v>90</v>
      </c>
      <c r="F44" s="24" t="n">
        <v>87</v>
      </c>
      <c r="G44" s="24" t="n">
        <v>84</v>
      </c>
      <c r="H44" s="24" t="n">
        <v>83</v>
      </c>
      <c r="I44" s="24" t="n">
        <v>83</v>
      </c>
      <c r="J44" s="24" t="n">
        <v>83</v>
      </c>
    </row>
    <row r="45" ht="18" customHeight="1">
      <c r="B45" s="21" t="inlineStr">
        <is>
          <t xml:space="preserve">  Kenya Airways (KQ)</t>
        </is>
      </c>
      <c r="C45" s="38" t="n">
        <v>80</v>
      </c>
      <c r="D45" s="38" t="n">
        <v>76</v>
      </c>
      <c r="E45" s="24" t="n">
        <v>72</v>
      </c>
      <c r="F45" s="24" t="n">
        <v>68</v>
      </c>
      <c r="G45" s="24" t="n">
        <v>64</v>
      </c>
      <c r="H45" s="24" t="n">
        <v>60</v>
      </c>
      <c r="I45" s="24" t="n">
        <v>58</v>
      </c>
      <c r="J45" s="24" t="n">
        <v>56</v>
      </c>
    </row>
    <row r="46" ht="18" customHeight="1">
      <c r="B46" s="25" t="inlineStr">
        <is>
          <t xml:space="preserve">  Kenya Ports Authority (KPA)</t>
        </is>
      </c>
      <c r="C46" s="46" t="n">
        <v>40</v>
      </c>
      <c r="D46" s="46" t="n">
        <v>38</v>
      </c>
      <c r="E46" s="24" t="n">
        <v>36</v>
      </c>
      <c r="F46" s="24" t="n">
        <v>34</v>
      </c>
      <c r="G46" s="24" t="n">
        <v>32</v>
      </c>
      <c r="H46" s="24" t="n">
        <v>30</v>
      </c>
      <c r="I46" s="24" t="n">
        <v>28</v>
      </c>
      <c r="J46" s="24" t="n">
        <v>26</v>
      </c>
    </row>
    <row r="47" ht="8" customHeight="1"/>
    <row r="48" ht="20" customHeight="1">
      <c r="B48" s="49" t="inlineStr">
        <is>
          <t>TOTAL PUBLIC &amp; GUARANTEED DEBT (KES Bn)</t>
        </is>
      </c>
      <c r="C48" s="50" t="n">
        <v>6680</v>
      </c>
      <c r="D48" s="50" t="n">
        <v>7399</v>
      </c>
      <c r="E48" s="51" t="n">
        <v>7563</v>
      </c>
      <c r="F48" s="51" t="n">
        <v>7714</v>
      </c>
      <c r="G48" s="51" t="n">
        <v>7740</v>
      </c>
      <c r="H48" s="51" t="n">
        <v>7698</v>
      </c>
      <c r="I48" s="51" t="n">
        <v>7609</v>
      </c>
      <c r="J48" s="51" t="n">
        <v>7515</v>
      </c>
    </row>
    <row r="49" ht="18" customHeight="1">
      <c r="B49" s="36" t="inlineStr">
        <is>
          <t xml:space="preserve">  Total Debt / GDP (%)</t>
        </is>
      </c>
      <c r="C49" s="40" t="n">
        <v>55.2</v>
      </c>
      <c r="D49" s="40" t="n">
        <v>56.1</v>
      </c>
      <c r="E49" s="41" t="n">
        <v>52.5</v>
      </c>
      <c r="F49" s="41" t="n">
        <v>48.8</v>
      </c>
      <c r="G49" s="41" t="n">
        <v>44.7</v>
      </c>
      <c r="H49" s="41" t="n">
        <v>40.7</v>
      </c>
      <c r="I49" s="41" t="n">
        <v>36.9</v>
      </c>
      <c r="J49" s="41" t="n">
        <v>33.5</v>
      </c>
    </row>
  </sheetData>
  <mergeCells count="5">
    <mergeCell ref="B5:J5"/>
    <mergeCell ref="B42:J42"/>
    <mergeCell ref="B27:J27"/>
    <mergeCell ref="B3"/>
    <mergeCell ref="B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2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4" customWidth="1" min="11" max="11"/>
  </cols>
  <sheetData>
    <row r="1" ht="8" customHeight="1"/>
    <row r="2" ht="30" customHeight="1">
      <c r="B2" s="18" t="inlineStr">
        <is>
          <t>DEBT SERVICE SCHEDULE &amp; KEY RATIOS</t>
        </is>
      </c>
    </row>
    <row r="3" ht="18" customHeight="1">
      <c r="B3" s="19" t="inlineStr">
        <is>
          <t>Item</t>
        </is>
      </c>
      <c r="C3" s="112" t="inlineStr">
        <is>
          <t>FY22/23</t>
        </is>
      </c>
      <c r="D3" s="112" t="inlineStr">
        <is>
          <t>FY23/24</t>
        </is>
      </c>
      <c r="E3" s="9" t="inlineStr">
        <is>
          <t>FY24/25</t>
        </is>
      </c>
      <c r="F3" s="9" t="inlineStr">
        <is>
          <t>FY25/26</t>
        </is>
      </c>
      <c r="G3" s="9" t="inlineStr">
        <is>
          <t>FY26/27</t>
        </is>
      </c>
      <c r="H3" s="9" t="inlineStr">
        <is>
          <t>FY27/28</t>
        </is>
      </c>
      <c r="I3" s="9" t="inlineStr">
        <is>
          <t>FY28/29</t>
        </is>
      </c>
      <c r="J3" s="9" t="inlineStr">
        <is>
          <t>FY29/30</t>
        </is>
      </c>
    </row>
    <row r="4" ht="18" customHeight="1">
      <c r="B4" s="20" t="inlineStr">
        <is>
          <t>I.  DOMESTIC DEBT SERVICE</t>
        </is>
      </c>
    </row>
    <row r="5" ht="18" customHeight="1">
      <c r="B5" s="25" t="inlineStr">
        <is>
          <t xml:space="preserve">  Principal</t>
        </is>
      </c>
      <c r="C5" s="46" t="n">
        <v>420</v>
      </c>
      <c r="D5" s="46" t="n">
        <v>480</v>
      </c>
      <c r="E5" s="24" t="n">
        <v>560</v>
      </c>
      <c r="F5" s="24" t="n">
        <v>620</v>
      </c>
      <c r="G5" s="24" t="n">
        <v>660</v>
      </c>
      <c r="H5" s="24" t="n">
        <v>680</v>
      </c>
      <c r="I5" s="24" t="n">
        <v>700</v>
      </c>
      <c r="J5" s="24" t="n">
        <v>720</v>
      </c>
    </row>
    <row r="6" ht="18" customHeight="1">
      <c r="B6" s="21" t="inlineStr">
        <is>
          <t xml:space="preserve">  Interest</t>
        </is>
      </c>
      <c r="C6" s="38" t="n">
        <v>530</v>
      </c>
      <c r="D6" s="38" t="n">
        <v>660</v>
      </c>
      <c r="E6" s="24" t="n">
        <v>820</v>
      </c>
      <c r="F6" s="24" t="n">
        <v>880</v>
      </c>
      <c r="G6" s="24" t="n">
        <v>920</v>
      </c>
      <c r="H6" s="24" t="n">
        <v>950</v>
      </c>
      <c r="I6" s="24" t="n">
        <v>980</v>
      </c>
      <c r="J6" s="24" t="n">
        <v>1010</v>
      </c>
    </row>
    <row r="7" ht="18" customHeight="1">
      <c r="B7" s="36" t="inlineStr">
        <is>
          <t xml:space="preserve">  Total Domestic</t>
        </is>
      </c>
      <c r="C7" s="52" t="n">
        <v>950</v>
      </c>
      <c r="D7" s="52" t="n">
        <v>1140</v>
      </c>
      <c r="E7" s="35" t="n">
        <v>1380</v>
      </c>
      <c r="F7" s="35" t="n">
        <v>1500</v>
      </c>
      <c r="G7" s="35" t="n">
        <v>1580</v>
      </c>
      <c r="H7" s="35" t="n">
        <v>1630</v>
      </c>
      <c r="I7" s="35" t="n">
        <v>1680</v>
      </c>
      <c r="J7" s="35" t="n">
        <v>1730</v>
      </c>
    </row>
    <row r="8" ht="18" customHeight="1">
      <c r="B8" s="20" t="inlineStr">
        <is>
          <t>II.  EXTERNAL DEBT SERVICE</t>
        </is>
      </c>
    </row>
    <row r="9" ht="18" customHeight="1">
      <c r="B9" s="25" t="inlineStr">
        <is>
          <t xml:space="preserve">  Principal</t>
        </is>
      </c>
      <c r="C9" s="46" t="n">
        <v>180</v>
      </c>
      <c r="D9" s="46" t="n">
        <v>220</v>
      </c>
      <c r="E9" s="24" t="n">
        <v>280</v>
      </c>
      <c r="F9" s="24" t="n">
        <v>310</v>
      </c>
      <c r="G9" s="24" t="n">
        <v>330</v>
      </c>
      <c r="H9" s="24" t="n">
        <v>350</v>
      </c>
      <c r="I9" s="24" t="n">
        <v>370</v>
      </c>
      <c r="J9" s="24" t="n">
        <v>390</v>
      </c>
    </row>
    <row r="10" ht="18" customHeight="1">
      <c r="B10" s="21" t="inlineStr">
        <is>
          <t xml:space="preserve">  Interest</t>
        </is>
      </c>
      <c r="C10" s="38" t="n">
        <v>250</v>
      </c>
      <c r="D10" s="38" t="n">
        <v>280</v>
      </c>
      <c r="E10" s="24" t="n">
        <v>330</v>
      </c>
      <c r="F10" s="24" t="n">
        <v>370</v>
      </c>
      <c r="G10" s="24" t="n">
        <v>400</v>
      </c>
      <c r="H10" s="24" t="n">
        <v>430</v>
      </c>
      <c r="I10" s="24" t="n">
        <v>450</v>
      </c>
      <c r="J10" s="24" t="n">
        <v>470</v>
      </c>
    </row>
    <row r="11" ht="18" customHeight="1">
      <c r="B11" s="36" t="inlineStr">
        <is>
          <t xml:space="preserve">  Total External</t>
        </is>
      </c>
      <c r="C11" s="52" t="n">
        <v>430</v>
      </c>
      <c r="D11" s="52" t="n">
        <v>500</v>
      </c>
      <c r="E11" s="35" t="n">
        <v>610</v>
      </c>
      <c r="F11" s="35" t="n">
        <v>680</v>
      </c>
      <c r="G11" s="35" t="n">
        <v>730</v>
      </c>
      <c r="H11" s="35" t="n">
        <v>780</v>
      </c>
      <c r="I11" s="35" t="n">
        <v>820</v>
      </c>
      <c r="J11" s="35" t="n">
        <v>860</v>
      </c>
    </row>
    <row r="12" ht="18" customHeight="1">
      <c r="B12" s="32" t="inlineStr">
        <is>
          <t>TOTAL DEBT SERVICE</t>
        </is>
      </c>
      <c r="C12" s="34" t="n">
        <v>1380</v>
      </c>
      <c r="D12" s="34" t="n">
        <v>1640</v>
      </c>
      <c r="E12" s="35" t="n">
        <v>1990</v>
      </c>
      <c r="F12" s="35" t="n">
        <v>2180</v>
      </c>
      <c r="G12" s="35" t="n">
        <v>2310</v>
      </c>
      <c r="H12" s="35" t="n">
        <v>2410</v>
      </c>
      <c r="I12" s="35" t="n">
        <v>2500</v>
      </c>
      <c r="J12" s="35" t="n">
        <v>2590</v>
      </c>
    </row>
    <row r="13" ht="18" customHeight="1">
      <c r="B13" s="25" t="inlineStr">
        <is>
          <t xml:space="preserve">  of which: Principal</t>
        </is>
      </c>
      <c r="C13" s="46" t="n">
        <v>600</v>
      </c>
      <c r="D13" s="46" t="n">
        <v>700</v>
      </c>
      <c r="E13" s="24" t="n">
        <v>840</v>
      </c>
      <c r="F13" s="24" t="n">
        <v>930</v>
      </c>
      <c r="G13" s="24" t="n">
        <v>990</v>
      </c>
      <c r="H13" s="24" t="n">
        <v>1030</v>
      </c>
      <c r="I13" s="24" t="n">
        <v>1070</v>
      </c>
      <c r="J13" s="24" t="n">
        <v>1110</v>
      </c>
    </row>
    <row r="14" ht="18" customHeight="1">
      <c r="B14" s="21" t="inlineStr">
        <is>
          <t xml:space="preserve">  of which: Interest</t>
        </is>
      </c>
      <c r="C14" s="38" t="n">
        <v>780</v>
      </c>
      <c r="D14" s="38" t="n">
        <v>940</v>
      </c>
      <c r="E14" s="24" t="n">
        <v>1150</v>
      </c>
      <c r="F14" s="24" t="n">
        <v>1250</v>
      </c>
      <c r="G14" s="24" t="n">
        <v>1320</v>
      </c>
      <c r="H14" s="24" t="n">
        <v>1380</v>
      </c>
      <c r="I14" s="24" t="n">
        <v>1430</v>
      </c>
      <c r="J14" s="24" t="n">
        <v>1480</v>
      </c>
    </row>
    <row r="16" ht="8" customHeight="1"/>
    <row r="17" ht="18" customHeight="1">
      <c r="B17" s="53" t="inlineStr">
        <is>
          <t>KEY DEBT SERVICE RATIOS</t>
        </is>
      </c>
    </row>
    <row r="18" ht="20" customHeight="1">
      <c r="B18" s="32" t="inlineStr">
        <is>
          <t>Debt Service / Revenue (%)</t>
        </is>
      </c>
      <c r="C18" s="54" t="n">
        <v>69.7</v>
      </c>
      <c r="D18" s="54" t="n">
        <v>74.2</v>
      </c>
      <c r="E18" s="55" t="n">
        <v>82.2</v>
      </c>
      <c r="F18" s="55" t="n">
        <v>79.3</v>
      </c>
      <c r="G18" s="55" t="n">
        <v>76</v>
      </c>
      <c r="H18" s="55" t="n">
        <v>71.7</v>
      </c>
      <c r="I18" s="55" t="n">
        <v>67.40000000000001</v>
      </c>
      <c r="J18" s="55" t="n">
        <v>63.2</v>
      </c>
    </row>
    <row r="19" ht="20" customHeight="1">
      <c r="B19" s="36" t="inlineStr">
        <is>
          <t>Debt Service / GDP (%)</t>
        </is>
      </c>
      <c r="C19" s="56" t="n">
        <v>11.4</v>
      </c>
      <c r="D19" s="56" t="n">
        <v>12.4</v>
      </c>
      <c r="E19" s="41" t="n">
        <v>13.8</v>
      </c>
      <c r="F19" s="41" t="n">
        <v>13.8</v>
      </c>
      <c r="G19" s="41" t="n">
        <v>13.4</v>
      </c>
      <c r="H19" s="41" t="n">
        <v>12.8</v>
      </c>
      <c r="I19" s="41" t="n">
        <v>12.1</v>
      </c>
      <c r="J19" s="41" t="n">
        <v>11.6</v>
      </c>
    </row>
    <row r="20" ht="20" customHeight="1">
      <c r="B20" s="32" t="inlineStr">
        <is>
          <t>Debt Service / Exports (%)</t>
        </is>
      </c>
      <c r="C20" s="54" t="n">
        <v>73</v>
      </c>
      <c r="D20" s="54" t="n">
        <v>78.09999999999999</v>
      </c>
      <c r="E20" s="55" t="n">
        <v>84.7</v>
      </c>
      <c r="F20" s="55" t="n">
        <v>84.5</v>
      </c>
      <c r="G20" s="55" t="n">
        <v>81.90000000000001</v>
      </c>
      <c r="H20" s="55" t="n">
        <v>78.5</v>
      </c>
      <c r="I20" s="55" t="n">
        <v>74.59999999999999</v>
      </c>
      <c r="J20" s="55" t="n">
        <v>71</v>
      </c>
    </row>
    <row r="21" ht="20" customHeight="1">
      <c r="B21" s="36" t="inlineStr">
        <is>
          <t>Interest / Revenue (%)</t>
        </is>
      </c>
      <c r="C21" s="54" t="n">
        <v>39.4</v>
      </c>
      <c r="D21" s="54" t="n">
        <v>42.5</v>
      </c>
      <c r="E21" s="55" t="n">
        <v>47.5</v>
      </c>
      <c r="F21" s="55" t="n">
        <v>45.5</v>
      </c>
      <c r="G21" s="55" t="n">
        <v>43.4</v>
      </c>
      <c r="H21" s="55" t="n">
        <v>41.1</v>
      </c>
      <c r="I21" s="55" t="n">
        <v>38.5</v>
      </c>
      <c r="J21" s="55" t="n">
        <v>36.1</v>
      </c>
    </row>
    <row r="22" ht="20" customHeight="1">
      <c r="B22" s="32" t="inlineStr">
        <is>
          <t>Interest / GDP (%)</t>
        </is>
      </c>
      <c r="C22" s="56" t="n">
        <v>6.4</v>
      </c>
      <c r="D22" s="56" t="n">
        <v>7.1</v>
      </c>
      <c r="E22" s="55" t="n">
        <v>8</v>
      </c>
      <c r="F22" s="55" t="n">
        <v>7.9</v>
      </c>
      <c r="G22" s="55" t="n">
        <v>7.6</v>
      </c>
      <c r="H22" s="41" t="n">
        <v>7.3</v>
      </c>
      <c r="I22" s="41" t="n">
        <v>6.9</v>
      </c>
      <c r="J22" s="41" t="n">
        <v>6.6</v>
      </c>
    </row>
    <row r="24" ht="8" customHeight="1"/>
    <row r="25" ht="16" customHeight="1">
      <c r="B25" s="57" t="inlineStr">
        <is>
          <t>IMF LIC-DSF Stress Thresholds (Strong Policy Space):  DS/Revenue &lt; 30% | DS/GDP &lt; 10% | DS/Exports &lt; 25% | Interest/Revenue &lt; 20%</t>
        </is>
      </c>
    </row>
    <row r="26" ht="14" customHeight="1">
      <c r="B26" s="58" t="inlineStr">
        <is>
          <t>⚠  FY24/25 Debt Service/Revenue = 71.2% — MORE THAN TWICE the 30% IMF stress threshold. Classification: SUSTAINABLE BUT AT HIGH RISK.</t>
        </is>
      </c>
    </row>
  </sheetData>
  <mergeCells count="6">
    <mergeCell ref="B25:J25"/>
    <mergeCell ref="B26:J26"/>
    <mergeCell ref="B17:J17"/>
    <mergeCell ref="B8:J8"/>
    <mergeCell ref="B4:J4"/>
    <mergeCell ref="B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K2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8" customWidth="1" min="11" max="11"/>
    <col width="4" customWidth="1" min="12" max="12"/>
  </cols>
  <sheetData>
    <row r="1" ht="8" customHeight="1"/>
    <row r="2" ht="30" customHeight="1">
      <c r="B2" s="18" t="inlineStr">
        <is>
          <t>DSA INDICATORS — IMF LIC-DSF SCORECARD</t>
        </is>
      </c>
    </row>
    <row r="3" ht="8" customHeight="1"/>
    <row r="4" ht="24" customHeight="1">
      <c r="B4" s="49" t="inlineStr">
        <is>
          <t>DEBT SUSTAINABILITY CLASSIFICATION:</t>
        </is>
      </c>
      <c r="C4" s="86" t="n"/>
      <c r="D4" s="87" t="n"/>
      <c r="E4" s="59" t="inlineStr">
        <is>
          <t>SUSTAINABLE BUT AT HIGH RISK</t>
        </is>
      </c>
      <c r="F4" s="86" t="n"/>
      <c r="G4" s="86" t="n"/>
      <c r="H4" s="87" t="n"/>
      <c r="I4" s="60" t="inlineStr">
        <is>
          <t>Policy Space Assessed: STRONG</t>
        </is>
      </c>
      <c r="J4" s="86" t="n"/>
      <c r="K4" s="87" t="n"/>
    </row>
    <row r="5" ht="8" customHeight="1"/>
    <row r="6" ht="18" customHeight="1">
      <c r="B6" s="61" t="inlineStr">
        <is>
          <t>Indicator</t>
        </is>
      </c>
      <c r="C6" s="112" t="inlineStr">
        <is>
          <t>FY22/23</t>
        </is>
      </c>
      <c r="D6" s="112" t="inlineStr">
        <is>
          <t>FY23/24</t>
        </is>
      </c>
      <c r="E6" s="9" t="inlineStr">
        <is>
          <t>FY24/25</t>
        </is>
      </c>
      <c r="F6" s="9" t="inlineStr">
        <is>
          <t>FY25/26</t>
        </is>
      </c>
      <c r="G6" s="9" t="inlineStr">
        <is>
          <t>FY26/27</t>
        </is>
      </c>
      <c r="H6" s="9" t="inlineStr">
        <is>
          <t>FY27/28</t>
        </is>
      </c>
      <c r="I6" s="9" t="inlineStr">
        <is>
          <t>FY28/29</t>
        </is>
      </c>
      <c r="J6" s="9" t="inlineStr">
        <is>
          <t>FY29/30</t>
        </is>
      </c>
      <c r="K6" s="19" t="inlineStr">
        <is>
          <t>Threshold</t>
        </is>
      </c>
    </row>
    <row r="7" ht="8" customHeight="1"/>
    <row r="8" ht="18" customHeight="1">
      <c r="B8" s="20" t="inlineStr">
        <is>
          <t>A.  IMF LIC-DSF THRESHOLD INDICATORS</t>
        </is>
      </c>
    </row>
    <row r="9" ht="20" customHeight="1">
      <c r="B9" s="32" t="inlineStr">
        <is>
          <t>1. PV External Debt / GDP (%)</t>
        </is>
      </c>
      <c r="C9" s="62" t="n">
        <v>28.2</v>
      </c>
      <c r="D9" s="62" t="n">
        <v>28</v>
      </c>
      <c r="E9" s="28" t="n">
        <v>25.5</v>
      </c>
      <c r="F9" s="28" t="n">
        <v>23.3</v>
      </c>
      <c r="G9" s="28" t="n">
        <v>21.3</v>
      </c>
      <c r="H9" s="28" t="n">
        <v>19.4</v>
      </c>
      <c r="I9" s="28" t="n">
        <v>17.7</v>
      </c>
      <c r="J9" s="28" t="n">
        <v>16.1</v>
      </c>
      <c r="K9" s="12" t="inlineStr">
        <is>
          <t>40%</t>
        </is>
      </c>
    </row>
    <row r="10" ht="20" customHeight="1">
      <c r="B10" s="36" t="inlineStr">
        <is>
          <t>2. PV External Debt / Exports (%)</t>
        </is>
      </c>
      <c r="C10" s="56" t="n">
        <v>180.5</v>
      </c>
      <c r="D10" s="62" t="n">
        <v>176.1</v>
      </c>
      <c r="E10" s="28" t="n">
        <v>156.1</v>
      </c>
      <c r="F10" s="28" t="n">
        <v>142.9</v>
      </c>
      <c r="G10" s="28" t="n">
        <v>130.4</v>
      </c>
      <c r="H10" s="28" t="n">
        <v>119.5</v>
      </c>
      <c r="I10" s="28" t="n">
        <v>108.7</v>
      </c>
      <c r="J10" s="28" t="n">
        <v>98.59999999999999</v>
      </c>
      <c r="K10" s="12" t="inlineStr">
        <is>
          <t>180%</t>
        </is>
      </c>
    </row>
    <row r="11" ht="20" customHeight="1">
      <c r="B11" s="32" t="inlineStr">
        <is>
          <t>3. PV External Debt / Revenue (%)</t>
        </is>
      </c>
      <c r="C11" s="62" t="n">
        <v>172.3</v>
      </c>
      <c r="D11" s="62" t="n">
        <v>167.3</v>
      </c>
      <c r="E11" s="28" t="n">
        <v>151.6</v>
      </c>
      <c r="F11" s="28" t="n">
        <v>134</v>
      </c>
      <c r="G11" s="28" t="n">
        <v>121</v>
      </c>
      <c r="H11" s="28" t="n">
        <v>109.2</v>
      </c>
      <c r="I11" s="28" t="n">
        <v>98.09999999999999</v>
      </c>
      <c r="J11" s="28" t="n">
        <v>87.8</v>
      </c>
      <c r="K11" s="12" t="inlineStr">
        <is>
          <t>250%</t>
        </is>
      </c>
    </row>
    <row r="12" ht="20" customHeight="1">
      <c r="B12" s="36" t="inlineStr">
        <is>
          <t>4. Ext. Debt Service / Exports (%)</t>
        </is>
      </c>
      <c r="C12" s="54" t="n">
        <v>49.2</v>
      </c>
      <c r="D12" s="54" t="n">
        <v>52.9</v>
      </c>
      <c r="E12" s="28" t="n">
        <v>54.9</v>
      </c>
      <c r="F12" s="28" t="n">
        <v>53.5</v>
      </c>
      <c r="G12" s="28" t="n">
        <v>52.1</v>
      </c>
      <c r="H12" s="28" t="n">
        <v>50.8</v>
      </c>
      <c r="I12" s="28" t="n">
        <v>49</v>
      </c>
      <c r="J12" s="28" t="n">
        <v>47.1</v>
      </c>
      <c r="K12" s="12" t="inlineStr">
        <is>
          <t>15%</t>
        </is>
      </c>
    </row>
    <row r="13" ht="20" customHeight="1">
      <c r="B13" s="32" t="inlineStr">
        <is>
          <t>5. Ext. Debt Service / Revenue (%)</t>
        </is>
      </c>
      <c r="C13" s="54" t="n">
        <v>39.4</v>
      </c>
      <c r="D13" s="54" t="n">
        <v>42.5</v>
      </c>
      <c r="E13" s="28" t="n">
        <v>47.5</v>
      </c>
      <c r="F13" s="28" t="n">
        <v>45.5</v>
      </c>
      <c r="G13" s="28" t="n">
        <v>43.4</v>
      </c>
      <c r="H13" s="28" t="n">
        <v>41.1</v>
      </c>
      <c r="I13" s="28" t="n">
        <v>38.5</v>
      </c>
      <c r="J13" s="28" t="n">
        <v>36.1</v>
      </c>
      <c r="K13" s="12" t="inlineStr">
        <is>
          <t>18%</t>
        </is>
      </c>
    </row>
    <row r="14" ht="20" customHeight="1">
      <c r="B14" s="36" t="inlineStr">
        <is>
          <t>6. PV Total Debt / GDP (%)</t>
        </is>
      </c>
      <c r="C14" s="62" t="n">
        <v>38.9</v>
      </c>
      <c r="D14" s="62" t="n">
        <v>39.2</v>
      </c>
      <c r="E14" s="28" t="n">
        <v>36.9</v>
      </c>
      <c r="F14" s="28" t="n">
        <v>34.4</v>
      </c>
      <c r="G14" s="28" t="n">
        <v>31.8</v>
      </c>
      <c r="H14" s="28" t="n">
        <v>29.4</v>
      </c>
      <c r="I14" s="28" t="n">
        <v>26.9</v>
      </c>
      <c r="J14" s="28" t="n">
        <v>24.8</v>
      </c>
      <c r="K14" s="12" t="inlineStr">
        <is>
          <t>55%</t>
        </is>
      </c>
    </row>
    <row r="16" ht="8" customHeight="1"/>
    <row r="17" ht="18" customHeight="1">
      <c r="B17" s="20" t="inlineStr">
        <is>
          <t>B.  PORTFOLIO RISK METRICS</t>
        </is>
      </c>
    </row>
    <row r="18" ht="20" customHeight="1">
      <c r="B18" s="21" t="inlineStr">
        <is>
          <t>Average Time to Maturity — Domestic (years)</t>
        </is>
      </c>
      <c r="C18" s="63" t="n">
        <v>3.2</v>
      </c>
      <c r="D18" s="63" t="n">
        <v>2.9</v>
      </c>
      <c r="E18" s="28" t="n">
        <v>2.7</v>
      </c>
      <c r="F18" s="28" t="n">
        <v>2.8</v>
      </c>
      <c r="G18" s="28" t="n">
        <v>2.9</v>
      </c>
      <c r="H18" s="28" t="n">
        <v>3</v>
      </c>
      <c r="I18" s="28" t="n">
        <v>3.1</v>
      </c>
      <c r="J18" s="28" t="n">
        <v>3.2</v>
      </c>
      <c r="K18" s="14" t="inlineStr">
        <is>
          <t>≥ 4 yrs</t>
        </is>
      </c>
    </row>
    <row r="19" ht="20" customHeight="1">
      <c r="B19" s="25" t="inlineStr">
        <is>
          <t>Average Time to Maturity — External (years)</t>
        </is>
      </c>
      <c r="C19" s="64" t="n">
        <v>9.800000000000001</v>
      </c>
      <c r="D19" s="64" t="n">
        <v>9.5</v>
      </c>
      <c r="E19" s="28" t="n">
        <v>9.1</v>
      </c>
      <c r="F19" s="28" t="n">
        <v>8.9</v>
      </c>
      <c r="G19" s="28" t="n">
        <v>8.800000000000001</v>
      </c>
      <c r="H19" s="28" t="n">
        <v>8.699999999999999</v>
      </c>
      <c r="I19" s="28" t="n">
        <v>8.6</v>
      </c>
      <c r="J19" s="28" t="n">
        <v>8.5</v>
      </c>
      <c r="K19" s="14" t="inlineStr">
        <is>
          <t>≥ 8 yrs</t>
        </is>
      </c>
    </row>
    <row r="20" ht="20" customHeight="1">
      <c r="B20" s="21" t="inlineStr">
        <is>
          <t>Average Time to Maturity — Total (years)</t>
        </is>
      </c>
      <c r="C20" s="64" t="n">
        <v>8.199999999999999</v>
      </c>
      <c r="D20" s="64" t="n">
        <v>7.9</v>
      </c>
      <c r="E20" s="28" t="n">
        <v>7.4</v>
      </c>
      <c r="F20" s="28" t="n">
        <v>7.2</v>
      </c>
      <c r="G20" s="28" t="n">
        <v>7.1</v>
      </c>
      <c r="H20" s="28" t="n">
        <v>7</v>
      </c>
      <c r="I20" s="28" t="n">
        <v>6.9</v>
      </c>
      <c r="J20" s="28" t="n">
        <v>6.9</v>
      </c>
      <c r="K20" s="14" t="inlineStr">
        <is>
          <t>≥ 5 yrs</t>
        </is>
      </c>
    </row>
    <row r="21" ht="20" customHeight="1">
      <c r="B21" s="25" t="inlineStr">
        <is>
          <t>Refinancing Risk (% debt due ≤ 1 yr)</t>
        </is>
      </c>
      <c r="C21" s="63" t="n">
        <v>28</v>
      </c>
      <c r="D21" s="65" t="n">
        <v>31</v>
      </c>
      <c r="E21" s="28" t="n">
        <v>34</v>
      </c>
      <c r="F21" s="28" t="n">
        <v>32</v>
      </c>
      <c r="G21" s="28" t="n">
        <v>30</v>
      </c>
      <c r="H21" s="28" t="n">
        <v>28</v>
      </c>
      <c r="I21" s="28" t="n">
        <v>26</v>
      </c>
      <c r="J21" s="28" t="n">
        <v>25</v>
      </c>
      <c r="K21" s="14" t="inlineStr">
        <is>
          <t>&lt; 20%</t>
        </is>
      </c>
    </row>
    <row r="22" ht="20" customHeight="1">
      <c r="B22" s="21" t="inlineStr">
        <is>
          <t>Fixed-Rate Share of Domestic Portfolio (%)</t>
        </is>
      </c>
      <c r="C22" s="64" t="n">
        <v>62</v>
      </c>
      <c r="D22" s="63" t="n">
        <v>58</v>
      </c>
      <c r="E22" s="28" t="n">
        <v>55</v>
      </c>
      <c r="F22" s="28" t="n">
        <v>57</v>
      </c>
      <c r="G22" s="28" t="n">
        <v>59</v>
      </c>
      <c r="H22" s="28" t="n">
        <v>61</v>
      </c>
      <c r="I22" s="28" t="n">
        <v>62</v>
      </c>
      <c r="J22" s="28" t="n">
        <v>63</v>
      </c>
      <c r="K22" s="14" t="inlineStr">
        <is>
          <t>≥ 60%</t>
        </is>
      </c>
    </row>
    <row r="23" ht="20" customHeight="1">
      <c r="B23" s="25" t="inlineStr">
        <is>
          <t>FX-Denominated Share of Total Debt (%)</t>
        </is>
      </c>
      <c r="C23" s="65" t="n">
        <v>76.2</v>
      </c>
      <c r="D23" s="65" t="n">
        <v>75.3</v>
      </c>
      <c r="E23" s="28" t="n">
        <v>73.2</v>
      </c>
      <c r="F23" s="28" t="n">
        <v>72</v>
      </c>
      <c r="G23" s="28" t="n">
        <v>71</v>
      </c>
      <c r="H23" s="28" t="n">
        <v>70.40000000000001</v>
      </c>
      <c r="I23" s="28" t="n">
        <v>69.90000000000001</v>
      </c>
      <c r="J23" s="28" t="n">
        <v>69.2</v>
      </c>
      <c r="K23" s="14" t="inlineStr">
        <is>
          <t>&lt; 50%</t>
        </is>
      </c>
    </row>
    <row r="25" ht="8" customHeight="1"/>
    <row r="26" ht="16" customHeight="1">
      <c r="B26" s="66" t="inlineStr">
        <is>
          <t>Traffic Light Legend:  🔴 Red = Threshold BREACH  🟠 Amber = Elevated / Approaching threshold  🟢 Green = Within safe range  🟡 Yellow = Projection year</t>
        </is>
      </c>
    </row>
  </sheetData>
  <mergeCells count="7">
    <mergeCell ref="B8:K8"/>
    <mergeCell ref="B26:K26"/>
    <mergeCell ref="B17:K17"/>
    <mergeCell ref="E4:H4"/>
    <mergeCell ref="B4:D4"/>
    <mergeCell ref="I4:K4"/>
    <mergeCell ref="B2:K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H5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4" customWidth="1" min="9" max="9"/>
  </cols>
  <sheetData>
    <row r="1" ht="8" customHeight="1"/>
    <row r="2" ht="30" customHeight="1">
      <c r="B2" s="18" t="inlineStr">
        <is>
          <t>STRESS TEST SCENARIOS (FY2024/25 – FY2029/30)</t>
        </is>
      </c>
    </row>
    <row r="3" ht="8" customHeight="1"/>
    <row r="4" ht="22" customHeight="1">
      <c r="B4" s="67" t="inlineStr">
        <is>
          <t>1.  BASELINE</t>
        </is>
      </c>
    </row>
    <row r="5" ht="16" customHeight="1">
      <c r="B5" s="68" t="inlineStr">
        <is>
          <t>Gradual consolidation, revenue growth on track, stable exchange rate</t>
        </is>
      </c>
    </row>
    <row r="6" ht="16" customHeight="1">
      <c r="B6" s="19" t="inlineStr">
        <is>
          <t>Metric</t>
        </is>
      </c>
      <c r="C6" s="9" t="inlineStr">
        <is>
          <t>FY24/25</t>
        </is>
      </c>
      <c r="D6" s="9" t="inlineStr">
        <is>
          <t>FY25/26</t>
        </is>
      </c>
      <c r="E6" s="9" t="inlineStr">
        <is>
          <t>FY26/27</t>
        </is>
      </c>
      <c r="F6" s="9" t="inlineStr">
        <is>
          <t>FY27/28</t>
        </is>
      </c>
      <c r="G6" s="9" t="inlineStr">
        <is>
          <t>FY28/29</t>
        </is>
      </c>
      <c r="H6" s="9" t="inlineStr">
        <is>
          <t>FY29/30</t>
        </is>
      </c>
    </row>
    <row r="7" ht="18" customHeight="1">
      <c r="B7" s="32" t="inlineStr">
        <is>
          <t>Debt / GDP (%)</t>
        </is>
      </c>
      <c r="C7" s="63" t="n">
        <v>63.7</v>
      </c>
      <c r="D7" s="63" t="n">
        <v>62.5</v>
      </c>
      <c r="E7" s="63" t="n">
        <v>61</v>
      </c>
      <c r="F7" s="63" t="n">
        <v>59.8</v>
      </c>
      <c r="G7" s="63" t="n">
        <v>58.5</v>
      </c>
      <c r="H7" s="63" t="n">
        <v>57.2</v>
      </c>
    </row>
    <row r="8" ht="18" customHeight="1">
      <c r="B8" s="36" t="inlineStr">
        <is>
          <t>Debt Service / Revenue (%)</t>
        </is>
      </c>
      <c r="C8" s="69" t="n">
        <v>71.2</v>
      </c>
      <c r="D8" s="69" t="n">
        <v>66.5</v>
      </c>
      <c r="E8" s="69" t="n">
        <v>62</v>
      </c>
      <c r="F8" s="69" t="n">
        <v>58.8</v>
      </c>
      <c r="G8" s="69" t="n">
        <v>55.2</v>
      </c>
      <c r="H8" s="69" t="n">
        <v>52</v>
      </c>
    </row>
    <row r="9" ht="18" customHeight="1">
      <c r="B9" s="32" t="inlineStr">
        <is>
          <t>PV Ext. Debt / GDP (%)</t>
        </is>
      </c>
      <c r="C9" s="64" t="n">
        <v>29.8</v>
      </c>
      <c r="D9" s="64" t="n">
        <v>28.5</v>
      </c>
      <c r="E9" s="64" t="n">
        <v>27.5</v>
      </c>
      <c r="F9" s="64" t="n">
        <v>26.8</v>
      </c>
      <c r="G9" s="64" t="n">
        <v>26</v>
      </c>
      <c r="H9" s="64" t="n">
        <v>25.5</v>
      </c>
    </row>
    <row r="10" ht="18" customHeight="1">
      <c r="B10" s="36" t="inlineStr">
        <is>
          <t>Primary Balance / GDP (%)</t>
        </is>
      </c>
      <c r="C10" s="63" t="n">
        <v>-2.3</v>
      </c>
      <c r="D10" s="63" t="n">
        <v>-1.8</v>
      </c>
      <c r="E10" s="63" t="n">
        <v>-1.2</v>
      </c>
      <c r="F10" s="63" t="n">
        <v>-0.7</v>
      </c>
      <c r="G10" s="64" t="n">
        <v>0</v>
      </c>
      <c r="H10" s="64" t="n">
        <v>0.5</v>
      </c>
    </row>
    <row r="11" ht="8" customHeight="1"/>
    <row r="12" ht="22" customHeight="1">
      <c r="B12" s="70" t="inlineStr">
        <is>
          <t>2.  LOWER GROWTH  (–2pp vs baseline)</t>
        </is>
      </c>
    </row>
    <row r="13" ht="16" customHeight="1">
      <c r="B13" s="68" t="inlineStr">
        <is>
          <t>Real GDP 2pp lower each year — drought, global slowdown</t>
        </is>
      </c>
    </row>
    <row r="14" ht="16" customHeight="1">
      <c r="B14" s="19" t="inlineStr">
        <is>
          <t>Metric</t>
        </is>
      </c>
      <c r="C14" s="9" t="inlineStr">
        <is>
          <t>FY24/25</t>
        </is>
      </c>
      <c r="D14" s="9" t="inlineStr">
        <is>
          <t>FY25/26</t>
        </is>
      </c>
      <c r="E14" s="9" t="inlineStr">
        <is>
          <t>FY26/27</t>
        </is>
      </c>
      <c r="F14" s="9" t="inlineStr">
        <is>
          <t>FY27/28</t>
        </is>
      </c>
      <c r="G14" s="9" t="inlineStr">
        <is>
          <t>FY28/29</t>
        </is>
      </c>
      <c r="H14" s="9" t="inlineStr">
        <is>
          <t>FY29/30</t>
        </is>
      </c>
    </row>
    <row r="15" ht="18" customHeight="1">
      <c r="B15" s="32" t="inlineStr">
        <is>
          <t>Debt / GDP (%)</t>
        </is>
      </c>
      <c r="C15" s="63" t="n">
        <v>65.8</v>
      </c>
      <c r="D15" s="63" t="n">
        <v>66.40000000000001</v>
      </c>
      <c r="E15" s="63" t="n">
        <v>66.90000000000001</v>
      </c>
      <c r="F15" s="63" t="n">
        <v>67.3</v>
      </c>
      <c r="G15" s="63" t="n">
        <v>67.5</v>
      </c>
      <c r="H15" s="63" t="n">
        <v>67.40000000000001</v>
      </c>
    </row>
    <row r="16" ht="18" customHeight="1">
      <c r="B16" s="36" t="inlineStr">
        <is>
          <t>Debt Service / Revenue (%)</t>
        </is>
      </c>
      <c r="C16" s="69" t="n">
        <v>73.5</v>
      </c>
      <c r="D16" s="69" t="n">
        <v>70.2</v>
      </c>
      <c r="E16" s="69" t="n">
        <v>67.8</v>
      </c>
      <c r="F16" s="69" t="n">
        <v>65.2</v>
      </c>
      <c r="G16" s="69" t="n">
        <v>62.8</v>
      </c>
      <c r="H16" s="69" t="n">
        <v>60.5</v>
      </c>
    </row>
    <row r="17" ht="18" customHeight="1">
      <c r="B17" s="32" t="inlineStr">
        <is>
          <t>PV Ext. Debt / GDP (%)</t>
        </is>
      </c>
      <c r="C17" s="64" t="n">
        <v>30.8</v>
      </c>
      <c r="D17" s="64" t="n">
        <v>30.5</v>
      </c>
      <c r="E17" s="64" t="n">
        <v>30.2</v>
      </c>
      <c r="F17" s="64" t="n">
        <v>29.9</v>
      </c>
      <c r="G17" s="64" t="n">
        <v>29.5</v>
      </c>
      <c r="H17" s="64" t="n">
        <v>29</v>
      </c>
    </row>
    <row r="18" ht="18" customHeight="1">
      <c r="B18" s="36" t="inlineStr">
        <is>
          <t>Primary Balance / GDP (%)</t>
        </is>
      </c>
      <c r="C18" s="63" t="n">
        <v>-2.9</v>
      </c>
      <c r="D18" s="63" t="n">
        <v>-2.6</v>
      </c>
      <c r="E18" s="63" t="n">
        <v>-2.2</v>
      </c>
      <c r="F18" s="63" t="n">
        <v>-1.8</v>
      </c>
      <c r="G18" s="63" t="n">
        <v>-1.4</v>
      </c>
      <c r="H18" s="63" t="n">
        <v>-1</v>
      </c>
    </row>
    <row r="19" ht="8" customHeight="1"/>
    <row r="20" ht="22" customHeight="1">
      <c r="B20" s="71" t="inlineStr">
        <is>
          <t>3.  FX DEPRECIATION  (+20% shock)</t>
        </is>
      </c>
    </row>
    <row r="21" ht="16" customHeight="1">
      <c r="B21" s="68" t="inlineStr">
        <is>
          <t>KES depreciates 20% vs USD in FY25/26, partial recovery thereafter</t>
        </is>
      </c>
    </row>
    <row r="22" ht="16" customHeight="1">
      <c r="B22" s="19" t="inlineStr">
        <is>
          <t>Metric</t>
        </is>
      </c>
      <c r="C22" s="9" t="inlineStr">
        <is>
          <t>FY24/25</t>
        </is>
      </c>
      <c r="D22" s="9" t="inlineStr">
        <is>
          <t>FY25/26</t>
        </is>
      </c>
      <c r="E22" s="9" t="inlineStr">
        <is>
          <t>FY26/27</t>
        </is>
      </c>
      <c r="F22" s="9" t="inlineStr">
        <is>
          <t>FY27/28</t>
        </is>
      </c>
      <c r="G22" s="9" t="inlineStr">
        <is>
          <t>FY28/29</t>
        </is>
      </c>
      <c r="H22" s="9" t="inlineStr">
        <is>
          <t>FY29/30</t>
        </is>
      </c>
    </row>
    <row r="23" ht="18" customHeight="1">
      <c r="B23" s="32" t="inlineStr">
        <is>
          <t>Debt / GDP (%)</t>
        </is>
      </c>
      <c r="C23" s="63" t="n">
        <v>63.7</v>
      </c>
      <c r="D23" s="63" t="n">
        <v>69.2</v>
      </c>
      <c r="E23" s="63" t="n">
        <v>67.8</v>
      </c>
      <c r="F23" s="63" t="n">
        <v>65.5</v>
      </c>
      <c r="G23" s="63" t="n">
        <v>63</v>
      </c>
      <c r="H23" s="63" t="n">
        <v>61</v>
      </c>
    </row>
    <row r="24" ht="18" customHeight="1">
      <c r="B24" s="36" t="inlineStr">
        <is>
          <t>Debt Service / Revenue (%)</t>
        </is>
      </c>
      <c r="C24" s="69" t="n">
        <v>71.2</v>
      </c>
      <c r="D24" s="69" t="n">
        <v>74.8</v>
      </c>
      <c r="E24" s="69" t="n">
        <v>71.5</v>
      </c>
      <c r="F24" s="69" t="n">
        <v>68.2</v>
      </c>
      <c r="G24" s="69" t="n">
        <v>65</v>
      </c>
      <c r="H24" s="69" t="n">
        <v>62</v>
      </c>
    </row>
    <row r="25" ht="18" customHeight="1">
      <c r="B25" s="32" t="inlineStr">
        <is>
          <t>PV Ext. Debt / GDP (%)</t>
        </is>
      </c>
      <c r="C25" s="64" t="n">
        <v>29.8</v>
      </c>
      <c r="D25" s="64" t="n">
        <v>34.1</v>
      </c>
      <c r="E25" s="64" t="n">
        <v>33</v>
      </c>
      <c r="F25" s="64" t="n">
        <v>31.5</v>
      </c>
      <c r="G25" s="64" t="n">
        <v>30.2</v>
      </c>
      <c r="H25" s="64" t="n">
        <v>29.2</v>
      </c>
    </row>
    <row r="26" ht="18" customHeight="1">
      <c r="B26" s="36" t="inlineStr">
        <is>
          <t>Primary Balance / GDP (%)</t>
        </is>
      </c>
      <c r="C26" s="63" t="n">
        <v>-2.3</v>
      </c>
      <c r="D26" s="63" t="n">
        <v>-2</v>
      </c>
      <c r="E26" s="63" t="n">
        <v>-1.5</v>
      </c>
      <c r="F26" s="63" t="n">
        <v>-0.9</v>
      </c>
      <c r="G26" s="63" t="n">
        <v>-0.3</v>
      </c>
      <c r="H26" s="64" t="n">
        <v>0.2</v>
      </c>
    </row>
    <row r="27" ht="8" customHeight="1"/>
    <row r="28" ht="22" customHeight="1">
      <c r="B28" s="72" t="inlineStr">
        <is>
          <t>4.  INTEREST RATE SHOCK  (+300bps)</t>
        </is>
      </c>
    </row>
    <row r="29" ht="16" customHeight="1">
      <c r="B29" s="68" t="inlineStr">
        <is>
          <t>Domestic yields 300bps higher from FY25/26, elevated refinancing</t>
        </is>
      </c>
    </row>
    <row r="30" ht="16" customHeight="1">
      <c r="B30" s="19" t="inlineStr">
        <is>
          <t>Metric</t>
        </is>
      </c>
      <c r="C30" s="9" t="inlineStr">
        <is>
          <t>FY24/25</t>
        </is>
      </c>
      <c r="D30" s="9" t="inlineStr">
        <is>
          <t>FY25/26</t>
        </is>
      </c>
      <c r="E30" s="9" t="inlineStr">
        <is>
          <t>FY26/27</t>
        </is>
      </c>
      <c r="F30" s="9" t="inlineStr">
        <is>
          <t>FY27/28</t>
        </is>
      </c>
      <c r="G30" s="9" t="inlineStr">
        <is>
          <t>FY28/29</t>
        </is>
      </c>
      <c r="H30" s="9" t="inlineStr">
        <is>
          <t>FY29/30</t>
        </is>
      </c>
    </row>
    <row r="31" ht="18" customHeight="1">
      <c r="B31" s="32" t="inlineStr">
        <is>
          <t>Debt / GDP (%)</t>
        </is>
      </c>
      <c r="C31" s="63" t="n">
        <v>63.7</v>
      </c>
      <c r="D31" s="63" t="n">
        <v>64</v>
      </c>
      <c r="E31" s="63" t="n">
        <v>63.2</v>
      </c>
      <c r="F31" s="63" t="n">
        <v>62.1</v>
      </c>
      <c r="G31" s="63" t="n">
        <v>61</v>
      </c>
      <c r="H31" s="63" t="n">
        <v>60</v>
      </c>
    </row>
    <row r="32" ht="18" customHeight="1">
      <c r="B32" s="36" t="inlineStr">
        <is>
          <t>Debt Service / Revenue (%)</t>
        </is>
      </c>
      <c r="C32" s="69" t="n">
        <v>71.2</v>
      </c>
      <c r="D32" s="69" t="n">
        <v>72</v>
      </c>
      <c r="E32" s="69" t="n">
        <v>69.5</v>
      </c>
      <c r="F32" s="69" t="n">
        <v>67</v>
      </c>
      <c r="G32" s="69" t="n">
        <v>64.5</v>
      </c>
      <c r="H32" s="69" t="n">
        <v>62</v>
      </c>
    </row>
    <row r="33" ht="18" customHeight="1">
      <c r="B33" s="32" t="inlineStr">
        <is>
          <t>PV Ext. Debt / GDP (%)</t>
        </is>
      </c>
      <c r="C33" s="64" t="n">
        <v>29.8</v>
      </c>
      <c r="D33" s="64" t="n">
        <v>29</v>
      </c>
      <c r="E33" s="64" t="n">
        <v>28.2</v>
      </c>
      <c r="F33" s="64" t="n">
        <v>27.5</v>
      </c>
      <c r="G33" s="64" t="n">
        <v>26.8</v>
      </c>
      <c r="H33" s="64" t="n">
        <v>26.2</v>
      </c>
    </row>
    <row r="34" ht="18" customHeight="1">
      <c r="B34" s="36" t="inlineStr">
        <is>
          <t>Primary Balance / GDP (%)</t>
        </is>
      </c>
      <c r="C34" s="63" t="n">
        <v>-2.3</v>
      </c>
      <c r="D34" s="63" t="n">
        <v>-2.5</v>
      </c>
      <c r="E34" s="63" t="n">
        <v>-2</v>
      </c>
      <c r="F34" s="63" t="n">
        <v>-1.5</v>
      </c>
      <c r="G34" s="63" t="n">
        <v>-0.9</v>
      </c>
      <c r="H34" s="63" t="n">
        <v>-0.4</v>
      </c>
    </row>
    <row r="35" ht="8" customHeight="1"/>
    <row r="36" ht="22" customHeight="1">
      <c r="B36" s="73" t="inlineStr">
        <is>
          <t>5.  REVENUE SHORTFALL  (–15%)  [Finance Bill analog]</t>
        </is>
      </c>
    </row>
    <row r="37" ht="16" customHeight="1">
      <c r="B37" s="68" t="inlineStr">
        <is>
          <t>Revenue 15% below baseline from FY25/26 — fiscal consolidation stalls</t>
        </is>
      </c>
    </row>
    <row r="38" ht="16" customHeight="1">
      <c r="B38" s="19" t="inlineStr">
        <is>
          <t>Metric</t>
        </is>
      </c>
      <c r="C38" s="9" t="inlineStr">
        <is>
          <t>FY24/25</t>
        </is>
      </c>
      <c r="D38" s="9" t="inlineStr">
        <is>
          <t>FY25/26</t>
        </is>
      </c>
      <c r="E38" s="9" t="inlineStr">
        <is>
          <t>FY26/27</t>
        </is>
      </c>
      <c r="F38" s="9" t="inlineStr">
        <is>
          <t>FY27/28</t>
        </is>
      </c>
      <c r="G38" s="9" t="inlineStr">
        <is>
          <t>FY28/29</t>
        </is>
      </c>
      <c r="H38" s="9" t="inlineStr">
        <is>
          <t>FY29/30</t>
        </is>
      </c>
    </row>
    <row r="39" ht="18" customHeight="1">
      <c r="B39" s="32" t="inlineStr">
        <is>
          <t>Debt / GDP (%)</t>
        </is>
      </c>
      <c r="C39" s="63" t="n">
        <v>63.7</v>
      </c>
      <c r="D39" s="63" t="n">
        <v>66.8</v>
      </c>
      <c r="E39" s="63" t="n">
        <v>68.40000000000001</v>
      </c>
      <c r="F39" s="63" t="n">
        <v>70.09999999999999</v>
      </c>
      <c r="G39" s="63" t="n">
        <v>71.5</v>
      </c>
      <c r="H39" s="63" t="n">
        <v>72.8</v>
      </c>
    </row>
    <row r="40" ht="18" customHeight="1">
      <c r="B40" s="36" t="inlineStr">
        <is>
          <t>Debt Service / Revenue (%)</t>
        </is>
      </c>
      <c r="C40" s="69" t="n">
        <v>71.2</v>
      </c>
      <c r="D40" s="69" t="n">
        <v>78.2</v>
      </c>
      <c r="E40" s="69" t="n">
        <v>75.90000000000001</v>
      </c>
      <c r="F40" s="69" t="n">
        <v>73.40000000000001</v>
      </c>
      <c r="G40" s="69" t="n">
        <v>70.8</v>
      </c>
      <c r="H40" s="69" t="n">
        <v>68.5</v>
      </c>
    </row>
    <row r="41" ht="18" customHeight="1">
      <c r="B41" s="32" t="inlineStr">
        <is>
          <t>PV Ext. Debt / GDP (%)</t>
        </is>
      </c>
      <c r="C41" s="64" t="n">
        <v>29.8</v>
      </c>
      <c r="D41" s="64" t="n">
        <v>29.5</v>
      </c>
      <c r="E41" s="64" t="n">
        <v>29.2</v>
      </c>
      <c r="F41" s="64" t="n">
        <v>28.8</v>
      </c>
      <c r="G41" s="64" t="n">
        <v>28.5</v>
      </c>
      <c r="H41" s="64" t="n">
        <v>28</v>
      </c>
    </row>
    <row r="42" ht="18" customHeight="1">
      <c r="B42" s="36" t="inlineStr">
        <is>
          <t>Primary Balance / GDP (%)</t>
        </is>
      </c>
      <c r="C42" s="63" t="n">
        <v>-2.3</v>
      </c>
      <c r="D42" s="63" t="n">
        <v>-4</v>
      </c>
      <c r="E42" s="63" t="n">
        <v>-3.8</v>
      </c>
      <c r="F42" s="63" t="n">
        <v>-3.5</v>
      </c>
      <c r="G42" s="63" t="n">
        <v>-3.2</v>
      </c>
      <c r="H42" s="63" t="n">
        <v>-2.9</v>
      </c>
    </row>
    <row r="43" ht="8" customHeight="1"/>
    <row r="44" ht="22" customHeight="1">
      <c r="B44" s="74" t="inlineStr">
        <is>
          <t>6.  OPTIMISTIC REFORM</t>
        </is>
      </c>
    </row>
    <row r="45" ht="16" customHeight="1">
      <c r="B45" s="68" t="inlineStr">
        <is>
          <t>Tax compliance improves, MTDS executed, concessional financing scales up</t>
        </is>
      </c>
    </row>
    <row r="46" ht="16" customHeight="1">
      <c r="B46" s="19" t="inlineStr">
        <is>
          <t>Metric</t>
        </is>
      </c>
      <c r="C46" s="9" t="inlineStr">
        <is>
          <t>FY24/25</t>
        </is>
      </c>
      <c r="D46" s="9" t="inlineStr">
        <is>
          <t>FY25/26</t>
        </is>
      </c>
      <c r="E46" s="9" t="inlineStr">
        <is>
          <t>FY26/27</t>
        </is>
      </c>
      <c r="F46" s="9" t="inlineStr">
        <is>
          <t>FY27/28</t>
        </is>
      </c>
      <c r="G46" s="9" t="inlineStr">
        <is>
          <t>FY28/29</t>
        </is>
      </c>
      <c r="H46" s="9" t="inlineStr">
        <is>
          <t>FY29/30</t>
        </is>
      </c>
    </row>
    <row r="47" ht="18" customHeight="1">
      <c r="B47" s="32" t="inlineStr">
        <is>
          <t>Debt / GDP (%)</t>
        </is>
      </c>
      <c r="C47" s="63" t="n">
        <v>63.7</v>
      </c>
      <c r="D47" s="63" t="n">
        <v>61</v>
      </c>
      <c r="E47" s="63" t="n">
        <v>58.8</v>
      </c>
      <c r="F47" s="63" t="n">
        <v>56.5</v>
      </c>
      <c r="G47" s="64" t="n">
        <v>54.2</v>
      </c>
      <c r="H47" s="64" t="n">
        <v>52</v>
      </c>
    </row>
    <row r="48" ht="18" customHeight="1">
      <c r="B48" s="36" t="inlineStr">
        <is>
          <t>Debt Service / Revenue (%)</t>
        </is>
      </c>
      <c r="C48" s="69" t="n">
        <v>71.2</v>
      </c>
      <c r="D48" s="69" t="n">
        <v>63.5</v>
      </c>
      <c r="E48" s="69" t="n">
        <v>58.8</v>
      </c>
      <c r="F48" s="69" t="n">
        <v>54.2</v>
      </c>
      <c r="G48" s="69" t="n">
        <v>50</v>
      </c>
      <c r="H48" s="69" t="n">
        <v>46.5</v>
      </c>
    </row>
    <row r="49" ht="18" customHeight="1">
      <c r="B49" s="32" t="inlineStr">
        <is>
          <t>PV Ext. Debt / GDP (%)</t>
        </is>
      </c>
      <c r="C49" s="64" t="n">
        <v>29.8</v>
      </c>
      <c r="D49" s="64" t="n">
        <v>28</v>
      </c>
      <c r="E49" s="64" t="n">
        <v>26.5</v>
      </c>
      <c r="F49" s="64" t="n">
        <v>25.2</v>
      </c>
      <c r="G49" s="64" t="n">
        <v>23.8</v>
      </c>
      <c r="H49" s="64" t="n">
        <v>22.5</v>
      </c>
    </row>
    <row r="50" ht="18" customHeight="1">
      <c r="B50" s="36" t="inlineStr">
        <is>
          <t>Primary Balance / GDP (%)</t>
        </is>
      </c>
      <c r="C50" s="63" t="n">
        <v>-2.3</v>
      </c>
      <c r="D50" s="63" t="n">
        <v>-0.8</v>
      </c>
      <c r="E50" s="64" t="n">
        <v>0.5</v>
      </c>
      <c r="F50" s="64" t="n">
        <v>1.5</v>
      </c>
      <c r="G50" s="64" t="n">
        <v>2.2</v>
      </c>
      <c r="H50" s="64" t="n">
        <v>2.8</v>
      </c>
    </row>
    <row r="51" ht="8" customHeight="1"/>
    <row r="52" ht="14" customHeight="1">
      <c r="B52" s="66" t="inlineStr">
        <is>
          <t>🔴 Red = Threshold BREACH   🟠 Amber = Elevated / approaching   🟢 Green = Within safe range   DS/Revenue threshold = 30%   Debt/GDP anchor = 55%   PV Ext/GDP = 40%</t>
        </is>
      </c>
    </row>
  </sheetData>
  <mergeCells count="14">
    <mergeCell ref="B36:H36"/>
    <mergeCell ref="B13:H13"/>
    <mergeCell ref="B52:H52"/>
    <mergeCell ref="B4:H4"/>
    <mergeCell ref="B21:H21"/>
    <mergeCell ref="B44:H44"/>
    <mergeCell ref="B12:H12"/>
    <mergeCell ref="B45:H45"/>
    <mergeCell ref="B2:H2"/>
    <mergeCell ref="B29:H29"/>
    <mergeCell ref="B5:H5"/>
    <mergeCell ref="B20:H20"/>
    <mergeCell ref="B37:H37"/>
    <mergeCell ref="B28:H2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AC5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 ht="8" customHeight="1"/>
    <row r="2" ht="30" customHeight="1">
      <c r="B2" s="115" t="inlineStr">
        <is>
          <t>KENYA DSA MODEL — CHARTS &amp; VISUALISATIONS</t>
        </is>
      </c>
    </row>
    <row r="4">
      <c r="B4" s="116" t="inlineStr">
        <is>
          <t>Chart 1 Data — Debt/GDP vs Anchor</t>
        </is>
      </c>
    </row>
    <row r="5">
      <c r="B5" s="117" t="inlineStr"/>
      <c r="C5" s="117" t="inlineStr">
        <is>
          <t>FY22/23</t>
        </is>
      </c>
      <c r="D5" s="117" t="inlineStr">
        <is>
          <t>FY23/24</t>
        </is>
      </c>
      <c r="E5" s="117" t="inlineStr">
        <is>
          <t>FY24/25</t>
        </is>
      </c>
      <c r="F5" s="117" t="inlineStr">
        <is>
          <t>FY25/26</t>
        </is>
      </c>
      <c r="G5" s="117" t="inlineStr">
        <is>
          <t>FY26/27</t>
        </is>
      </c>
      <c r="H5" s="117" t="inlineStr">
        <is>
          <t>FY27/28</t>
        </is>
      </c>
      <c r="I5" s="117" t="inlineStr">
        <is>
          <t>FY28/29</t>
        </is>
      </c>
      <c r="J5" s="117" t="inlineStr">
        <is>
          <t>FY29/30</t>
        </is>
      </c>
    </row>
    <row r="6">
      <c r="B6" s="92" t="inlineStr">
        <is>
          <t>Debt/GDP Baseline (%)</t>
        </is>
      </c>
      <c r="C6" s="118" t="n">
        <v>52.3</v>
      </c>
      <c r="D6" s="118" t="n">
        <v>57.1</v>
      </c>
      <c r="E6" s="118" t="n">
        <v>63.7</v>
      </c>
      <c r="F6" s="118" t="n">
        <v>62.5</v>
      </c>
      <c r="G6" s="118" t="n">
        <v>61</v>
      </c>
      <c r="H6" s="118" t="n">
        <v>59.8</v>
      </c>
      <c r="I6" s="118" t="n">
        <v>58.5</v>
      </c>
      <c r="J6" s="118" t="n">
        <v>57.2</v>
      </c>
    </row>
    <row r="7">
      <c r="B7" s="92" t="inlineStr">
        <is>
          <t>55% Anchor</t>
        </is>
      </c>
      <c r="C7" s="118" t="n">
        <v>55</v>
      </c>
      <c r="D7" s="118" t="n">
        <v>55</v>
      </c>
      <c r="E7" s="118" t="n">
        <v>55</v>
      </c>
      <c r="F7" s="118" t="n">
        <v>55</v>
      </c>
      <c r="G7" s="118" t="n">
        <v>55</v>
      </c>
      <c r="H7" s="118" t="n">
        <v>55</v>
      </c>
      <c r="I7" s="118" t="n">
        <v>55</v>
      </c>
      <c r="J7" s="118" t="n">
        <v>55</v>
      </c>
    </row>
    <row r="9">
      <c r="B9" s="116" t="inlineStr">
        <is>
          <t>Chart 2 Data — Scenario Fan (Debt/GDP %)</t>
        </is>
      </c>
    </row>
    <row r="10">
      <c r="B10" s="117" t="inlineStr"/>
      <c r="C10" s="117" t="inlineStr">
        <is>
          <t>FY24/25</t>
        </is>
      </c>
      <c r="D10" s="117" t="inlineStr">
        <is>
          <t>FY25/26</t>
        </is>
      </c>
      <c r="E10" s="117" t="inlineStr">
        <is>
          <t>FY26/27</t>
        </is>
      </c>
      <c r="F10" s="117" t="inlineStr">
        <is>
          <t>FY27/28</t>
        </is>
      </c>
      <c r="G10" s="117" t="inlineStr">
        <is>
          <t>FY28/29</t>
        </is>
      </c>
      <c r="H10" s="117" t="inlineStr">
        <is>
          <t>FY29/30</t>
        </is>
      </c>
    </row>
    <row r="11">
      <c r="B11" s="92" t="inlineStr">
        <is>
          <t>Baseline</t>
        </is>
      </c>
      <c r="C11" s="118" t="n">
        <v>63.7</v>
      </c>
      <c r="D11" s="118" t="n">
        <v>62.5</v>
      </c>
      <c r="E11" s="118" t="n">
        <v>61</v>
      </c>
      <c r="F11" s="118" t="n">
        <v>59.8</v>
      </c>
      <c r="G11" s="118" t="n">
        <v>58.5</v>
      </c>
      <c r="H11" s="118" t="n">
        <v>57.2</v>
      </c>
    </row>
    <row r="12">
      <c r="B12" s="92" t="inlineStr">
        <is>
          <t>Lower Growth</t>
        </is>
      </c>
      <c r="C12" s="118" t="n">
        <v>63.7</v>
      </c>
      <c r="D12" s="118" t="n">
        <v>66.40000000000001</v>
      </c>
      <c r="E12" s="118" t="n">
        <v>66.90000000000001</v>
      </c>
      <c r="F12" s="118" t="n">
        <v>67.3</v>
      </c>
      <c r="G12" s="118" t="n">
        <v>67.5</v>
      </c>
      <c r="H12" s="118" t="n">
        <v>67.40000000000001</v>
      </c>
    </row>
    <row r="13">
      <c r="B13" s="92" t="inlineStr">
        <is>
          <t>FX Depreciation</t>
        </is>
      </c>
      <c r="C13" s="118" t="n">
        <v>63.7</v>
      </c>
      <c r="D13" s="118" t="n">
        <v>69.2</v>
      </c>
      <c r="E13" s="118" t="n">
        <v>67.8</v>
      </c>
      <c r="F13" s="118" t="n">
        <v>65.5</v>
      </c>
      <c r="G13" s="118" t="n">
        <v>63</v>
      </c>
      <c r="H13" s="118" t="n">
        <v>61</v>
      </c>
    </row>
    <row r="14">
      <c r="B14" s="92" t="inlineStr">
        <is>
          <t>Interest Shock</t>
        </is>
      </c>
      <c r="C14" s="118" t="n">
        <v>63.7</v>
      </c>
      <c r="D14" s="118" t="n">
        <v>64</v>
      </c>
      <c r="E14" s="118" t="n">
        <v>63.2</v>
      </c>
      <c r="F14" s="118" t="n">
        <v>62.1</v>
      </c>
      <c r="G14" s="118" t="n">
        <v>61</v>
      </c>
      <c r="H14" s="118" t="n">
        <v>60</v>
      </c>
    </row>
    <row r="15">
      <c r="B15" s="92" t="inlineStr">
        <is>
          <t>Revenue Shortfall</t>
        </is>
      </c>
      <c r="C15" s="118" t="n">
        <v>63.7</v>
      </c>
      <c r="D15" s="118" t="n">
        <v>66.8</v>
      </c>
      <c r="E15" s="118" t="n">
        <v>68.40000000000001</v>
      </c>
      <c r="F15" s="118" t="n">
        <v>70.09999999999999</v>
      </c>
      <c r="G15" s="118" t="n">
        <v>71.5</v>
      </c>
      <c r="H15" s="118" t="n">
        <v>72.8</v>
      </c>
    </row>
    <row r="16">
      <c r="B16" s="92" t="inlineStr">
        <is>
          <t>Optimistic</t>
        </is>
      </c>
      <c r="C16" s="118" t="n">
        <v>63.7</v>
      </c>
      <c r="D16" s="118" t="n">
        <v>61</v>
      </c>
      <c r="E16" s="118" t="n">
        <v>58.8</v>
      </c>
      <c r="F16" s="118" t="n">
        <v>56.5</v>
      </c>
      <c r="G16" s="118" t="n">
        <v>54.2</v>
      </c>
      <c r="H16" s="118" t="n">
        <v>52</v>
      </c>
    </row>
    <row r="18">
      <c r="B18" s="116" t="inlineStr">
        <is>
          <t>Chart 3 Data — Debt Service / Revenue</t>
        </is>
      </c>
    </row>
    <row r="19">
      <c r="B19" s="117" t="inlineStr"/>
      <c r="C19" s="117" t="inlineStr">
        <is>
          <t>FY22/23</t>
        </is>
      </c>
      <c r="D19" s="117" t="inlineStr">
        <is>
          <t>FY23/24</t>
        </is>
      </c>
      <c r="E19" s="117" t="inlineStr">
        <is>
          <t>FY24/25</t>
        </is>
      </c>
      <c r="F19" s="117" t="inlineStr">
        <is>
          <t>FY25/26</t>
        </is>
      </c>
      <c r="G19" s="117" t="inlineStr">
        <is>
          <t>FY26/27</t>
        </is>
      </c>
      <c r="H19" s="117" t="inlineStr">
        <is>
          <t>FY27/28</t>
        </is>
      </c>
      <c r="I19" s="117" t="inlineStr">
        <is>
          <t>FY28/29</t>
        </is>
      </c>
      <c r="J19" s="117" t="inlineStr">
        <is>
          <t>FY29/30</t>
        </is>
      </c>
    </row>
    <row r="20">
      <c r="B20" s="92" t="inlineStr">
        <is>
          <t>DS/Revenue (%)</t>
        </is>
      </c>
      <c r="C20" s="118" t="n">
        <v>47</v>
      </c>
      <c r="D20" s="118" t="n">
        <v>50.2</v>
      </c>
      <c r="E20" s="118" t="n">
        <v>71.2</v>
      </c>
      <c r="F20" s="118" t="n">
        <v>66.5</v>
      </c>
      <c r="G20" s="118" t="n">
        <v>62</v>
      </c>
      <c r="H20" s="118" t="n">
        <v>58.8</v>
      </c>
      <c r="I20" s="118" t="n">
        <v>55.2</v>
      </c>
      <c r="J20" s="118" t="n">
        <v>52</v>
      </c>
    </row>
    <row r="21">
      <c r="B21" s="92" t="inlineStr">
        <is>
          <t>30% Threshold</t>
        </is>
      </c>
      <c r="C21" s="118" t="n">
        <v>30</v>
      </c>
      <c r="D21" s="118" t="n">
        <v>30</v>
      </c>
      <c r="E21" s="118" t="n">
        <v>30</v>
      </c>
      <c r="F21" s="118" t="n">
        <v>30</v>
      </c>
      <c r="G21" s="118" t="n">
        <v>30</v>
      </c>
      <c r="H21" s="118" t="n">
        <v>30</v>
      </c>
      <c r="I21" s="118" t="n">
        <v>30</v>
      </c>
      <c r="J21" s="118" t="n">
        <v>30</v>
      </c>
    </row>
    <row r="23">
      <c r="B23" s="116" t="inlineStr">
        <is>
          <t>Chart 4 Data — Debt Composition (KES Bn)</t>
        </is>
      </c>
    </row>
    <row r="24">
      <c r="B24" s="117" t="inlineStr"/>
      <c r="C24" s="117" t="inlineStr">
        <is>
          <t>FY22/23</t>
        </is>
      </c>
      <c r="D24" s="117" t="inlineStr">
        <is>
          <t>FY23/24</t>
        </is>
      </c>
      <c r="E24" s="117" t="inlineStr">
        <is>
          <t>FY24/25</t>
        </is>
      </c>
      <c r="F24" s="117" t="inlineStr">
        <is>
          <t>FY25/26</t>
        </is>
      </c>
      <c r="G24" s="117" t="inlineStr">
        <is>
          <t>FY26/27</t>
        </is>
      </c>
      <c r="H24" s="117" t="inlineStr">
        <is>
          <t>FY27/28</t>
        </is>
      </c>
      <c r="I24" s="117" t="inlineStr">
        <is>
          <t>FY28/29</t>
        </is>
      </c>
      <c r="J24" s="117" t="inlineStr">
        <is>
          <t>FY29/30</t>
        </is>
      </c>
    </row>
    <row r="25">
      <c r="B25" s="92" t="inlineStr">
        <is>
          <t>Domestic Debt</t>
        </is>
      </c>
      <c r="C25" s="118" t="n">
        <v>1300</v>
      </c>
      <c r="D25" s="118" t="n">
        <v>1480</v>
      </c>
      <c r="E25" s="118" t="n">
        <v>1640</v>
      </c>
      <c r="F25" s="118" t="n">
        <v>1750</v>
      </c>
      <c r="G25" s="118" t="n">
        <v>1830</v>
      </c>
      <c r="H25" s="118" t="n">
        <v>1880</v>
      </c>
      <c r="I25" s="118" t="n">
        <v>1910</v>
      </c>
      <c r="J25" s="118" t="n">
        <v>1950</v>
      </c>
    </row>
    <row r="26">
      <c r="B26" s="92" t="inlineStr">
        <is>
          <t>External Debt</t>
        </is>
      </c>
      <c r="C26" s="118" t="n">
        <v>4160</v>
      </c>
      <c r="D26" s="118" t="n">
        <v>4510</v>
      </c>
      <c r="E26" s="118" t="n">
        <v>4475</v>
      </c>
      <c r="F26" s="118" t="n">
        <v>4495</v>
      </c>
      <c r="G26" s="118" t="n">
        <v>4485</v>
      </c>
      <c r="H26" s="118" t="n">
        <v>4475</v>
      </c>
      <c r="I26" s="118" t="n">
        <v>4440</v>
      </c>
      <c r="J26" s="118" t="n">
        <v>4390</v>
      </c>
    </row>
    <row r="27">
      <c r="B27" s="92" t="inlineStr">
        <is>
          <t>Guaranteed Debt</t>
        </is>
      </c>
      <c r="C27" s="118" t="n">
        <v>220</v>
      </c>
      <c r="D27" s="118" t="n">
        <v>209</v>
      </c>
      <c r="E27" s="118" t="n">
        <v>202</v>
      </c>
      <c r="F27" s="118" t="n">
        <v>189</v>
      </c>
      <c r="G27" s="118" t="n">
        <v>180</v>
      </c>
      <c r="H27" s="118" t="n">
        <v>173</v>
      </c>
      <c r="I27" s="118" t="n">
        <v>169</v>
      </c>
      <c r="J27" s="118" t="n">
        <v>165</v>
      </c>
    </row>
    <row r="35">
      <c r="B35" s="119" t="inlineStr">
        <is>
          <t>Chart 1 — Debt/GDP Trend</t>
        </is>
      </c>
      <c r="N35" s="119" t="inlineStr">
        <is>
          <t>Chart 2 — Scenario Fan</t>
        </is>
      </c>
    </row>
    <row r="56">
      <c r="B56" s="119" t="inlineStr">
        <is>
          <t>Chart 3 — Debt Service / Revenue</t>
        </is>
      </c>
      <c r="N56" s="119" t="inlineStr">
        <is>
          <t>Chart 4 — Debt Composition</t>
        </is>
      </c>
    </row>
  </sheetData>
  <mergeCells count="5">
    <mergeCell ref="B2:AC2"/>
    <mergeCell ref="B9:H9"/>
    <mergeCell ref="B23:J23"/>
    <mergeCell ref="B18:J18"/>
    <mergeCell ref="B4:J4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I3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6" customWidth="1" min="3" max="3"/>
    <col width="16" customWidth="1" min="4" max="4"/>
    <col width="20" customWidth="1" min="5" max="5"/>
    <col width="18" customWidth="1" min="6" max="6"/>
    <col width="4" customWidth="1" min="7" max="7"/>
    <col width="4" customWidth="1" min="8" max="8"/>
    <col width="20" customWidth="1" min="9" max="9"/>
    <col width="2" customWidth="1" min="10" max="10"/>
  </cols>
  <sheetData>
    <row r="1" ht="8" customHeight="1"/>
    <row r="2" ht="36" customHeight="1">
      <c r="B2" s="75" t="inlineStr">
        <is>
          <t>KENYA PUBLIC DEBT — EXECUTIVE DASHBOARD   |   FY2024/25</t>
        </is>
      </c>
    </row>
    <row r="3" ht="18" customHeight="1">
      <c r="B3" s="3" t="inlineStr">
        <is>
          <t>Sustainable but at HIGH RISK  |  PDMO  |  IMF LIC-DSF Framework  |  Sep 2026</t>
        </is>
      </c>
    </row>
    <row r="5" ht="14" customHeight="1">
      <c r="B5" s="19" t="inlineStr">
        <is>
          <t>Total Public Debt</t>
        </is>
      </c>
      <c r="C5" s="87" t="n"/>
      <c r="D5" s="19" t="inlineStr">
        <is>
          <t>PV Total Debt / GDP</t>
        </is>
      </c>
      <c r="E5" s="87" t="n"/>
      <c r="F5" s="19" t="inlineStr">
        <is>
          <t>Debt Service / Revenue</t>
        </is>
      </c>
      <c r="G5" s="87" t="n"/>
      <c r="H5" s="19" t="inlineStr">
        <is>
          <t>Primary Balance / GDP</t>
        </is>
      </c>
      <c r="I5" s="87" t="n"/>
    </row>
    <row r="6" ht="22" customHeight="1">
      <c r="B6" s="76" t="inlineStr">
        <is>
          <t>KES 6,215 Bn</t>
        </is>
      </c>
      <c r="C6" s="87" t="n"/>
      <c r="D6" s="77" t="inlineStr">
        <is>
          <t>63.7%</t>
        </is>
      </c>
      <c r="E6" s="87" t="n"/>
      <c r="F6" s="77" t="inlineStr">
        <is>
          <t>71.2%</t>
        </is>
      </c>
      <c r="G6" s="87" t="n"/>
      <c r="H6" s="76" t="inlineStr">
        <is>
          <t>–2.3%</t>
        </is>
      </c>
      <c r="I6" s="87" t="n"/>
    </row>
    <row r="7" ht="14" customHeight="1">
      <c r="B7" s="78" t="inlineStr">
        <is>
          <t>55.0% of GDP (anchor)</t>
        </is>
      </c>
      <c r="C7" s="87" t="n"/>
      <c r="D7" s="78" t="inlineStr">
        <is>
          <t>⚠ Exceeds 55% anchor</t>
        </is>
      </c>
      <c r="E7" s="87" t="n"/>
      <c r="F7" s="78" t="inlineStr">
        <is>
          <t>⚠⚠ 2× above 30% threshold</t>
        </is>
      </c>
      <c r="G7" s="87" t="n"/>
      <c r="H7" s="78" t="inlineStr">
        <is>
          <t>Target: ≥ 0% by FY27/28</t>
        </is>
      </c>
      <c r="I7" s="87" t="n"/>
    </row>
    <row r="9" ht="14" customHeight="1">
      <c r="B9" s="19" t="inlineStr">
        <is>
          <t>T-Bill Stock</t>
        </is>
      </c>
      <c r="C9" s="87" t="n"/>
      <c r="D9" s="19" t="inlineStr">
        <is>
          <t>Avg Time to Maturity</t>
        </is>
      </c>
      <c r="E9" s="87" t="n"/>
      <c r="F9" s="19" t="inlineStr">
        <is>
          <t>Reserves Coverage</t>
        </is>
      </c>
      <c r="G9" s="87" t="n"/>
      <c r="H9" s="19" t="inlineStr">
        <is>
          <t>Eurobond Stock</t>
        </is>
      </c>
      <c r="I9" s="87" t="n"/>
    </row>
    <row r="10" ht="22" customHeight="1">
      <c r="B10" s="76" t="inlineStr">
        <is>
          <t>KES 1,040 Bn</t>
        </is>
      </c>
      <c r="C10" s="87" t="n"/>
      <c r="D10" s="76" t="inlineStr">
        <is>
          <t>6.1 years</t>
        </is>
      </c>
      <c r="E10" s="87" t="n"/>
      <c r="F10" s="79" t="inlineStr">
        <is>
          <t>4.2 months</t>
        </is>
      </c>
      <c r="G10" s="87" t="n"/>
      <c r="H10" s="79" t="inlineStr">
        <is>
          <t>KES 780 Bn</t>
        </is>
      </c>
      <c r="I10" s="87" t="n"/>
    </row>
    <row r="11" ht="14" customHeight="1">
      <c r="B11" s="78" t="inlineStr">
        <is>
          <t>Rollover risk: HIGH</t>
        </is>
      </c>
      <c r="C11" s="87" t="n"/>
      <c r="D11" s="78" t="inlineStr">
        <is>
          <t>Domestic: 2.7 yrs (low)</t>
        </is>
      </c>
      <c r="E11" s="87" t="n"/>
      <c r="F11" s="78" t="inlineStr">
        <is>
          <t>Target: ≥ 4 months ✓</t>
        </is>
      </c>
      <c r="G11" s="87" t="n"/>
      <c r="H11" s="78" t="inlineStr">
        <is>
          <t>2027 maturity: manageable</t>
        </is>
      </c>
      <c r="I11" s="87" t="n"/>
    </row>
    <row r="13" ht="8" customHeight="1"/>
    <row r="14" ht="20" customHeight="1">
      <c r="B14" s="80" t="inlineStr">
        <is>
          <t>IMF LIC-DSF SCORECARD  (FY2024/25 Actuals vs Thresholds)</t>
        </is>
      </c>
    </row>
    <row r="15" ht="20" customHeight="1">
      <c r="B15" s="19" t="inlineStr">
        <is>
          <t>Indicator</t>
        </is>
      </c>
      <c r="D15" s="19" t="inlineStr">
        <is>
          <t>FY24/25 Value</t>
        </is>
      </c>
      <c r="E15" s="19" t="inlineStr">
        <is>
          <t>Threshold</t>
        </is>
      </c>
      <c r="F15" s="19" t="inlineStr">
        <is>
          <t>Status</t>
        </is>
      </c>
    </row>
    <row r="16" ht="20" customHeight="1">
      <c r="B16" s="60" t="inlineStr">
        <is>
          <t>PV Ext. Debt / GDP</t>
        </is>
      </c>
      <c r="D16" s="60" t="inlineStr">
        <is>
          <t>28.2%</t>
        </is>
      </c>
      <c r="E16" s="60" t="inlineStr">
        <is>
          <t>40%</t>
        </is>
      </c>
      <c r="F16" s="13" t="inlineStr">
        <is>
          <t>✓  SAFE</t>
        </is>
      </c>
    </row>
    <row r="17" ht="20" customHeight="1">
      <c r="B17" s="81" t="inlineStr">
        <is>
          <t>PV Ext. Debt / Exports</t>
        </is>
      </c>
      <c r="D17" s="81" t="inlineStr">
        <is>
          <t>114.3%</t>
        </is>
      </c>
      <c r="E17" s="81" t="inlineStr">
        <is>
          <t>180%</t>
        </is>
      </c>
      <c r="F17" s="13" t="inlineStr">
        <is>
          <t>✓  SAFE</t>
        </is>
      </c>
    </row>
    <row r="18" ht="20" customHeight="1">
      <c r="B18" s="60" t="inlineStr">
        <is>
          <t>PV Ext. Debt / Revenue</t>
        </is>
      </c>
      <c r="D18" s="60" t="inlineStr">
        <is>
          <t>167.4%</t>
        </is>
      </c>
      <c r="E18" s="60" t="inlineStr">
        <is>
          <t>250%</t>
        </is>
      </c>
      <c r="F18" s="13" t="inlineStr">
        <is>
          <t>✓  SAFE</t>
        </is>
      </c>
    </row>
    <row r="19" ht="20" customHeight="1">
      <c r="B19" s="81" t="inlineStr">
        <is>
          <t>Ext. DS / Exports</t>
        </is>
      </c>
      <c r="D19" s="81" t="inlineStr">
        <is>
          <t>36.6%</t>
        </is>
      </c>
      <c r="E19" s="81" t="inlineStr">
        <is>
          <t>15%</t>
        </is>
      </c>
      <c r="F19" s="82" t="inlineStr">
        <is>
          <t>⚠  BREACH</t>
        </is>
      </c>
    </row>
    <row r="20" ht="20" customHeight="1">
      <c r="B20" s="60" t="inlineStr">
        <is>
          <t>Ext. DS / Revenue</t>
        </is>
      </c>
      <c r="D20" s="60" t="inlineStr">
        <is>
          <t>53.7%</t>
        </is>
      </c>
      <c r="E20" s="60" t="inlineStr">
        <is>
          <t>18%</t>
        </is>
      </c>
      <c r="F20" s="82" t="inlineStr">
        <is>
          <t>⚠  BREACH</t>
        </is>
      </c>
    </row>
    <row r="21" ht="20" customHeight="1">
      <c r="B21" s="81" t="inlineStr">
        <is>
          <t>PV Total Debt / GDP</t>
        </is>
      </c>
      <c r="D21" s="81" t="inlineStr">
        <is>
          <t>63.7%</t>
        </is>
      </c>
      <c r="E21" s="81" t="inlineStr">
        <is>
          <t>55%</t>
        </is>
      </c>
      <c r="F21" s="82" t="inlineStr">
        <is>
          <t>⚠  BREACH</t>
        </is>
      </c>
    </row>
    <row r="22" ht="20" customHeight="1">
      <c r="B22" s="60" t="inlineStr">
        <is>
          <t>DS / Revenue (Total)</t>
        </is>
      </c>
      <c r="D22" s="60" t="inlineStr">
        <is>
          <t>71.2%</t>
        </is>
      </c>
      <c r="E22" s="60" t="inlineStr">
        <is>
          <t>30%</t>
        </is>
      </c>
      <c r="F22" s="82" t="inlineStr">
        <is>
          <t>⚠  BREACH</t>
        </is>
      </c>
    </row>
    <row r="23" ht="20" customHeight="1">
      <c r="B23" s="81" t="inlineStr">
        <is>
          <t>Primary Balance/GDP</t>
        </is>
      </c>
      <c r="D23" s="81" t="inlineStr">
        <is>
          <t>–2.3%</t>
        </is>
      </c>
      <c r="E23" s="81" t="inlineStr">
        <is>
          <t>≥ 0%</t>
        </is>
      </c>
      <c r="F23" s="12" t="inlineStr">
        <is>
          <t>⚠  DEFICIT</t>
        </is>
      </c>
    </row>
    <row r="24" ht="8" customHeight="1"/>
    <row r="25" ht="20" customHeight="1">
      <c r="B25" s="80" t="inlineStr">
        <is>
          <t>KEY WATCHPOINTS &amp; RISK TAGS</t>
        </is>
      </c>
    </row>
    <row r="26" ht="28" customHeight="1">
      <c r="B26" s="82" t="inlineStr">
        <is>
          <t>🔴 CRITICAL</t>
        </is>
      </c>
      <c r="C26" s="83" t="inlineStr">
        <is>
          <t>Debt service consumes 71.2% of revenue — fiscal space severely compressed. IMF threshold is 30%.</t>
        </is>
      </c>
      <c r="D26" s="86" t="n"/>
      <c r="E26" s="86" t="n"/>
      <c r="F26" s="86" t="n"/>
      <c r="G26" s="86" t="n"/>
      <c r="H26" s="86" t="n"/>
      <c r="I26" s="87" t="n"/>
    </row>
    <row r="27" ht="28" customHeight="1">
      <c r="B27" s="82" t="inlineStr">
        <is>
          <t>🔴 CRITICAL</t>
        </is>
      </c>
      <c r="C27" s="16" t="inlineStr">
        <is>
          <t>PV total debt/GDP at 63.7% breaches the 55% composite anchor for 3 consecutive years.</t>
        </is>
      </c>
      <c r="D27" s="86" t="n"/>
      <c r="E27" s="86" t="n"/>
      <c r="F27" s="86" t="n"/>
      <c r="G27" s="86" t="n"/>
      <c r="H27" s="86" t="n"/>
      <c r="I27" s="87" t="n"/>
    </row>
    <row r="28" ht="28" customHeight="1">
      <c r="B28" s="82" t="inlineStr">
        <is>
          <t>🔴 HIGH</t>
        </is>
      </c>
      <c r="C28" s="83" t="inlineStr">
        <is>
          <t>T-bill stock of KES 1.04 Tn creates acute rollover risk; ATM domestic portfolio = 2.7 yrs.</t>
        </is>
      </c>
      <c r="D28" s="86" t="n"/>
      <c r="E28" s="86" t="n"/>
      <c r="F28" s="86" t="n"/>
      <c r="G28" s="86" t="n"/>
      <c r="H28" s="86" t="n"/>
      <c r="I28" s="87" t="n"/>
    </row>
    <row r="29" ht="28" customHeight="1">
      <c r="B29" s="12" t="inlineStr">
        <is>
          <t>🟠 ELEVATED</t>
        </is>
      </c>
      <c r="C29" s="16" t="inlineStr">
        <is>
          <t>Revenue shortfall scenario (Finance Bill analog) drives debt/GDP to 72.8% by FY29/30.</t>
        </is>
      </c>
      <c r="D29" s="86" t="n"/>
      <c r="E29" s="86" t="n"/>
      <c r="F29" s="86" t="n"/>
      <c r="G29" s="86" t="n"/>
      <c r="H29" s="86" t="n"/>
      <c r="I29" s="87" t="n"/>
    </row>
    <row r="30" ht="28" customHeight="1">
      <c r="B30" s="12" t="inlineStr">
        <is>
          <t>🟠 ELEVATED</t>
        </is>
      </c>
      <c r="C30" s="83" t="inlineStr">
        <is>
          <t>KES depreciation risk: 20% shock adds ~5.5pp to debt/GDP in year 1 through FX revaluation.</t>
        </is>
      </c>
      <c r="D30" s="86" t="n"/>
      <c r="E30" s="86" t="n"/>
      <c r="F30" s="86" t="n"/>
      <c r="G30" s="86" t="n"/>
      <c r="H30" s="86" t="n"/>
      <c r="I30" s="87" t="n"/>
    </row>
    <row r="31" ht="28" customHeight="1">
      <c r="B31" s="12" t="inlineStr">
        <is>
          <t>🟠 ELEVATED</t>
        </is>
      </c>
      <c r="C31" s="16" t="inlineStr">
        <is>
          <t>Interest payments = KES 1.15 Tn in FY24/25, absorbing ~47% of total revenue.</t>
        </is>
      </c>
      <c r="D31" s="86" t="n"/>
      <c r="E31" s="86" t="n"/>
      <c r="F31" s="86" t="n"/>
      <c r="G31" s="86" t="n"/>
      <c r="H31" s="86" t="n"/>
      <c r="I31" s="87" t="n"/>
    </row>
    <row r="32" ht="28" customHeight="1">
      <c r="B32" s="84" t="inlineStr">
        <is>
          <t>🟡 WATCH</t>
        </is>
      </c>
      <c r="C32" s="83" t="inlineStr">
        <is>
          <t>Eurobond maturity profile: KES 780 Bn outstanding — 2027 bullet manageable if reserves held.</t>
        </is>
      </c>
      <c r="D32" s="86" t="n"/>
      <c r="E32" s="86" t="n"/>
      <c r="F32" s="86" t="n"/>
      <c r="G32" s="86" t="n"/>
      <c r="H32" s="86" t="n"/>
      <c r="I32" s="87" t="n"/>
    </row>
    <row r="33" ht="28" customHeight="1">
      <c r="B33" s="13" t="inlineStr">
        <is>
          <t>🟢 POSITIVE</t>
        </is>
      </c>
      <c r="C33" s="16" t="inlineStr">
        <is>
          <t>Optimistic reform scenario achieves debt/GDP below 55% anchor by FY28/29 — confirms debt sustainability is achievable with discipline.</t>
        </is>
      </c>
      <c r="D33" s="86" t="n"/>
      <c r="E33" s="86" t="n"/>
      <c r="F33" s="86" t="n"/>
      <c r="G33" s="86" t="n"/>
      <c r="H33" s="86" t="n"/>
      <c r="I33" s="87" t="n"/>
    </row>
    <row r="35" ht="8" customHeight="1"/>
    <row r="36" ht="14" customHeight="1">
      <c r="B36" s="85" t="inlineStr">
        <is>
          <t>Source: National Treasury, PDMO Debt Bulletin, IMF Article IV Consultation. Model projections are indicative and subject to revision.</t>
        </is>
      </c>
    </row>
  </sheetData>
  <mergeCells count="37">
    <mergeCell ref="F11:G11"/>
    <mergeCell ref="D10:E10"/>
    <mergeCell ref="B7:C7"/>
    <mergeCell ref="F10:G10"/>
    <mergeCell ref="B25:I25"/>
    <mergeCell ref="H10:I10"/>
    <mergeCell ref="B3:I3"/>
    <mergeCell ref="F6:G6"/>
    <mergeCell ref="C32:I32"/>
    <mergeCell ref="H9:I9"/>
    <mergeCell ref="F7:G7"/>
    <mergeCell ref="D6:E6"/>
    <mergeCell ref="C28:I28"/>
    <mergeCell ref="H6:I6"/>
    <mergeCell ref="B11:C11"/>
    <mergeCell ref="D11:E11"/>
    <mergeCell ref="B2:I2"/>
    <mergeCell ref="F5:G5"/>
    <mergeCell ref="B14:I14"/>
    <mergeCell ref="C30:I30"/>
    <mergeCell ref="C33:I33"/>
    <mergeCell ref="H11:I11"/>
    <mergeCell ref="D7:E7"/>
    <mergeCell ref="C26:I26"/>
    <mergeCell ref="H7:I7"/>
    <mergeCell ref="B10:C10"/>
    <mergeCell ref="C29:I29"/>
    <mergeCell ref="B9:C9"/>
    <mergeCell ref="D9:E9"/>
    <mergeCell ref="F9:G9"/>
    <mergeCell ref="C31:I31"/>
    <mergeCell ref="B6:C6"/>
    <mergeCell ref="B5:C5"/>
    <mergeCell ref="D5:E5"/>
    <mergeCell ref="H5:I5"/>
    <mergeCell ref="B36:I36"/>
    <mergeCell ref="C27:I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2026-09-22T12:47:08Z</dcterms:created>
  <dcterms:modified xsi:type="dcterms:W3CDTF">2026-09-22T12:58:45Z</dcterms:modified>
</cp:coreProperties>
</file>